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8" name="Català">#REF!</definedName>
    <definedName name="Castellà">#REF!</definedName>
    <definedName localSheetId="5" name="Castellà">#REF!</definedName>
    <definedName name="Català">'COMPETÈNCIES OCULT'!$G$4:$G$13</definedName>
    <definedName localSheetId="7" name="Català">#REF!</definedName>
    <definedName localSheetId="5" name="Català">#REF!</definedName>
    <definedName localSheetId="7" name="Castellà">#REF!</definedName>
    <definedName localSheetId="8" name="Castellà">#REF!</definedName>
  </definedNames>
  <calcPr/>
  <extLst>
    <ext uri="GoogleSheetsCustomDataVersion2">
      <go:sheetsCustomData xmlns:go="http://customooxmlschemas.google.com/" r:id="rId21" roundtripDataChecksum="TwyKKU/k5fHCvQgMHvFd0e0q2flehlnrAwgjFtoSRO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ID#AAABWKX4JIY
    (2024-09-29 15:59:08)
Els objectius d'aprenentatge haurien de ser una concreció de les competències específiques del currículum.</t>
      </text>
    </comment>
    <comment authorId="0" ref="F2">
      <text>
        <t xml:space="preserve">======
ID#AAABWKX4JIU
    (2024-09-29 15:59:08)
Els criteris d'avaluació de la SA haurien de ser una concreció dels criteris d'avaluació del cicle.</t>
      </text>
    </comment>
    <comment authorId="0" ref="G2">
      <text>
        <t xml:space="preserve">======
ID#AAABWKX4JIQ
    (2024-09-29 15:59:08)
En quin grau d'assoliment - descripció - s'han aconseguit els criteris d'avaluació de la SA.</t>
      </text>
    </comment>
  </commentList>
  <extLst>
    <ext uri="GoogleSheetsCustomDataVersion2">
      <go:sheetsCustomData xmlns:go="http://customooxmlschemas.google.com/" r:id="rId1" roundtripDataSignature="AMtx7mjqajUIgs3KVxB+hr2tsuMzBSLF5g=="/>
    </ext>
  </extLst>
</comments>
</file>

<file path=xl/sharedStrings.xml><?xml version="1.0" encoding="utf-8"?>
<sst xmlns="http://schemas.openxmlformats.org/spreadsheetml/2006/main" count="6602" uniqueCount="2244">
  <si>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</si>
  <si>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</si>
  <si>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</si>
  <si>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</si>
  <si>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</si>
  <si>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</si>
  <si>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</si>
  <si>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</si>
  <si>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</si>
  <si>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</si>
  <si>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</si>
  <si>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</si>
  <si>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</si>
  <si>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</si>
  <si>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</si>
  <si>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</si>
  <si>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</si>
  <si>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</si>
  <si>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</si>
  <si>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</si>
  <si>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</si>
  <si>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</si>
  <si>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</si>
  <si>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</si>
  <si>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</si>
  <si>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</si>
  <si>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</si>
  <si>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</si>
  <si>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</si>
  <si>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</si>
  <si>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</si>
  <si>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</si>
  <si>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</si>
  <si>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</si>
  <si>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</si>
  <si>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</si>
  <si>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</si>
  <si>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</si>
  <si>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</si>
  <si>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</si>
  <si>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</si>
  <si>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</si>
  <si>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</si>
  <si>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</si>
  <si>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</si>
  <si>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</si>
  <si>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</si>
  <si>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</si>
  <si>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</si>
  <si>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</si>
  <si>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</si>
  <si>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</si>
  <si>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</si>
  <si>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</si>
  <si>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</si>
  <si>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</si>
  <si>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</si>
  <si>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</si>
  <si>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</si>
  <si>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</si>
  <si>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</si>
  <si>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</si>
  <si>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</si>
  <si>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</si>
  <si>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</si>
  <si>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</si>
  <si>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</si>
  <si>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</si>
  <si>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</si>
  <si>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</si>
  <si>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</si>
  <si>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</si>
  <si>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</si>
  <si>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</si>
  <si>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</si>
  <si>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</si>
  <si>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</si>
  <si>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</si>
  <si>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</si>
  <si>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</si>
  <si>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</si>
  <si>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</si>
  <si>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</si>
  <si>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</si>
  <si>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</si>
  <si>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</si>
  <si>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</si>
  <si>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</si>
  <si>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</si>
  <si>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</si>
  <si>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</si>
  <si>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</si>
  <si>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</si>
  <si>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</si>
  <si>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</si>
  <si>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</si>
  <si>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</si>
  <si>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</si>
  <si>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</si>
  <si>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</si>
  <si>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</si>
  <si>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</si>
  <si>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</si>
  <si>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</si>
  <si>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</si>
  <si>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</si>
  <si>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</si>
  <si>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</si>
  <si>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</si>
  <si>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</si>
  <si>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</si>
  <si>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</si>
  <si>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</si>
  <si>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</si>
  <si>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</si>
  <si>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</si>
  <si>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</si>
  <si>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</si>
  <si>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</si>
  <si>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</si>
  <si>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</si>
  <si>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</si>
  <si>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</si>
  <si>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</si>
  <si>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</si>
  <si>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</si>
  <si>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</si>
  <si>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</si>
  <si>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</si>
  <si>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</si>
  <si>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</si>
  <si>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</si>
  <si>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</si>
  <si>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</si>
  <si>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</si>
  <si>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</si>
  <si>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</si>
  <si>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</si>
  <si>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</si>
  <si>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</si>
  <si>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</si>
  <si>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</si>
  <si>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</si>
  <si>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</si>
  <si>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</si>
  <si>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</si>
  <si>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</si>
  <si>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</si>
  <si>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</si>
  <si>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</si>
  <si>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</si>
  <si>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</si>
  <si>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</si>
  <si>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</si>
  <si>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</si>
  <si>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</si>
  <si>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</si>
  <si>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</si>
  <si>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</si>
  <si>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</si>
  <si>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</si>
  <si>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</si>
  <si>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</si>
  <si>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</si>
  <si>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</si>
  <si>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</si>
  <si>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</si>
  <si>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</si>
  <si>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</si>
  <si>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</si>
  <si>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</si>
  <si>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</si>
  <si>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</si>
  <si>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</si>
  <si>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</si>
  <si>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</si>
  <si>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</si>
  <si>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</si>
  <si>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</si>
  <si>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</si>
  <si>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</si>
  <si>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</si>
  <si>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</si>
  <si>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</si>
  <si>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</si>
  <si>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</si>
  <si>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</si>
  <si>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</si>
  <si>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</si>
  <si>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</si>
  <si>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</si>
  <si>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</si>
  <si>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</si>
  <si>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</si>
  <si>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</si>
  <si>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</si>
  <si>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</si>
  <si>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</si>
  <si>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</si>
  <si>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</si>
  <si>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</si>
  <si>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</si>
  <si>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</si>
  <si>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</si>
  <si>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</si>
  <si>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</si>
  <si>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</si>
  <si>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</si>
  <si>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</si>
  <si>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</si>
  <si>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</si>
  <si>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</si>
  <si>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</si>
  <si>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</si>
  <si>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</si>
  <si>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</si>
  <si>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</si>
  <si>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</si>
  <si>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</si>
  <si>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</si>
  <si>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</si>
  <si>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</si>
  <si>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</si>
  <si>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</si>
  <si>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</si>
  <si>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</si>
  <si>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</si>
  <si>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</si>
  <si>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</si>
  <si>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</si>
  <si>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</si>
  <si>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</si>
  <si>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</si>
  <si>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</si>
  <si>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</si>
  <si>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</si>
  <si>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</si>
  <si>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</si>
  <si>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</si>
  <si>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</si>
  <si>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</si>
  <si>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</si>
  <si>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</si>
  <si>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</si>
  <si>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</si>
  <si>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</si>
  <si>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</si>
  <si>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</si>
  <si>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</si>
  <si>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</si>
  <si>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</si>
  <si>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</si>
  <si>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</si>
  <si>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</si>
  <si>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</si>
  <si>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</si>
  <si>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</si>
  <si>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</si>
  <si>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</si>
  <si>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</si>
  <si>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</si>
  <si>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</si>
  <si>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</si>
  <si>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</si>
  <si>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</si>
  <si>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</si>
  <si>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</si>
  <si>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</si>
  <si>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</si>
  <si>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</si>
  <si>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</si>
  <si>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</si>
  <si>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</si>
  <si>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</si>
  <si>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</si>
  <si>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</si>
  <si>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</si>
  <si>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</si>
  <si>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</si>
  <si>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</si>
  <si>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</si>
  <si>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</si>
  <si>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</si>
  <si>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</si>
  <si>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</si>
  <si>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</si>
  <si>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</si>
  <si>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</si>
  <si>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</si>
  <si>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</si>
  <si>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</si>
  <si>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</si>
  <si>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</si>
  <si>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</si>
  <si>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</si>
  <si>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</si>
  <si>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</si>
  <si>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</si>
  <si>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</si>
  <si>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</si>
  <si>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</si>
  <si>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</si>
  <si>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</si>
  <si>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</si>
  <si>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</si>
  <si>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</si>
  <si>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</si>
  <si>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</si>
  <si>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</si>
  <si>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</si>
  <si>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</si>
  <si>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</si>
  <si>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</si>
  <si>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</si>
  <si>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</si>
  <si>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</si>
  <si>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</si>
  <si>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</si>
  <si>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</si>
  <si>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</si>
  <si>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</si>
  <si>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</si>
  <si>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</si>
  <si>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</si>
  <si>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</si>
  <si>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</si>
  <si>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</si>
  <si>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</si>
  <si>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</si>
  <si>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</si>
  <si>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</si>
  <si>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</si>
  <si>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</si>
  <si>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</si>
  <si>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</si>
  <si>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</si>
  <si>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</si>
  <si>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</si>
  <si>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</si>
  <si>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</si>
  <si>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</si>
  <si>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</si>
  <si>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</si>
  <si>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</si>
  <si>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</si>
  <si>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</si>
  <si>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</si>
  <si>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</si>
  <si>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</si>
  <si>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</si>
  <si>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</si>
  <si>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</si>
  <si>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</si>
  <si>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</si>
  <si>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</si>
  <si>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</si>
  <si>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</si>
  <si>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</si>
  <si>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</si>
  <si>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</si>
  <si>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</si>
  <si>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</si>
  <si>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</si>
  <si>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</si>
  <si>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</si>
  <si>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</si>
  <si>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</si>
  <si>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</si>
  <si>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</si>
  <si>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</si>
  <si>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</si>
  <si>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</si>
  <si>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</si>
  <si>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</si>
  <si>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</si>
  <si>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</si>
  <si>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</si>
  <si>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</si>
  <si>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</si>
  <si>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</si>
  <si>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</si>
  <si>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</si>
  <si>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</si>
  <si>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</si>
  <si>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</si>
  <si>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</si>
  <si>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</si>
  <si>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</si>
  <si>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</si>
  <si>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</si>
  <si>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</si>
  <si>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</si>
  <si>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</si>
  <si>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</si>
  <si>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</si>
  <si>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</si>
  <si>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</si>
  <si>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</si>
  <si>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</si>
  <si>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</si>
  <si>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</si>
  <si>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</si>
  <si>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</si>
  <si>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</si>
  <si>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</si>
  <si>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</si>
  <si>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</si>
  <si>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</si>
  <si>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</si>
  <si>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</si>
  <si>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</si>
  <si>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</si>
  <si>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</si>
  <si>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</si>
  <si>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</si>
  <si>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</si>
  <si>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</si>
  <si>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</si>
  <si>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</si>
  <si>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</si>
  <si>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</si>
  <si>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</si>
  <si>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</si>
  <si>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</si>
  <si>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</si>
  <si>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</si>
  <si>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</si>
  <si>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</si>
  <si>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</si>
  <si>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</si>
  <si>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</si>
  <si>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</si>
  <si>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</si>
  <si>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</si>
  <si>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</si>
  <si>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</si>
  <si>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</si>
  <si>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</si>
  <si>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</si>
  <si>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</si>
  <si>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</si>
  <si>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</si>
  <si>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</si>
  <si>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</si>
  <si>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</si>
  <si>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</si>
  <si>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</si>
  <si>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</si>
  <si>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</si>
  <si>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</si>
  <si>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</si>
  <si>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</si>
  <si>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</si>
  <si>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</si>
  <si>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</si>
  <si>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</si>
  <si>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</si>
  <si>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</si>
  <si>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</si>
  <si>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</si>
  <si>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</si>
  <si>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</si>
  <si>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</si>
  <si>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</si>
  <si>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</si>
  <si>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</si>
  <si>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</si>
  <si>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</si>
  <si>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</si>
  <si>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</si>
  <si>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</si>
  <si>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</si>
  <si>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</si>
  <si>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</si>
  <si>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</si>
  <si>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</si>
  <si>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</si>
  <si>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</si>
  <si>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</si>
  <si>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</si>
  <si>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</si>
  <si>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</si>
  <si>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</si>
  <si>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</si>
  <si>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</si>
  <si>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</si>
  <si>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</si>
  <si>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</si>
  <si>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</si>
  <si>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</si>
  <si>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</si>
  <si>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</si>
  <si>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</si>
  <si>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</si>
  <si>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</si>
  <si>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</si>
  <si>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</si>
  <si>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</si>
  <si>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</si>
  <si>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</si>
  <si>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</si>
  <si>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</si>
  <si>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</si>
  <si>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</si>
  <si>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</si>
  <si>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</si>
  <si>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</si>
  <si>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</si>
  <si>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</si>
  <si>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</si>
  <si>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</si>
  <si>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</si>
  <si>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</si>
  <si>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</si>
  <si>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</si>
  <si>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</si>
  <si>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</si>
  <si>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</si>
  <si>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</si>
  <si>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</si>
  <si>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</si>
  <si>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</si>
  <si>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</si>
  <si>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</si>
  <si>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</si>
  <si>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</si>
  <si>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</si>
  <si>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</si>
  <si>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</si>
  <si>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</si>
  <si>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</si>
  <si>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</si>
  <si>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</si>
  <si>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</si>
  <si>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</si>
  <si>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</si>
  <si>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</si>
  <si>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</si>
  <si>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</si>
  <si>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</si>
  <si>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</si>
  <si>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</si>
  <si>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</si>
  <si>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</si>
  <si>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</si>
  <si>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</si>
  <si>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</si>
  <si>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</si>
  <si>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</si>
  <si>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</si>
  <si>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</si>
  <si>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</si>
  <si>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</si>
  <si>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</si>
  <si>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</si>
  <si>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</si>
  <si>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</si>
  <si>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</si>
  <si>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</si>
  <si>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</si>
  <si>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</si>
  <si>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</si>
  <si>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</si>
  <si>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</si>
  <si>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</si>
  <si>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</si>
  <si>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</si>
  <si>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</si>
  <si>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</si>
  <si>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</si>
  <si>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</si>
  <si>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</si>
  <si>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</si>
  <si>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</si>
  <si>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</si>
  <si>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</si>
  <si>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</si>
  <si>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</si>
  <si>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</si>
  <si>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</si>
  <si>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</si>
  <si>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</si>
  <si>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</si>
  <si>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</si>
  <si>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</si>
  <si>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</si>
  <si>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</si>
  <si>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</si>
  <si>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</si>
  <si>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</si>
  <si>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</si>
  <si>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</si>
  <si>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</si>
  <si>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</si>
  <si>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</si>
  <si>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</si>
  <si>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</si>
  <si>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</si>
  <si>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</si>
  <si>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</si>
  <si>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</si>
  <si>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</si>
  <si>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</si>
  <si>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</si>
  <si>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</si>
  <si>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</si>
  <si>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</si>
  <si>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</si>
  <si>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</si>
  <si>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</si>
  <si>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</si>
  <si>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</si>
  <si>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</si>
  <si>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</si>
  <si>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</si>
  <si>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</si>
  <si>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</si>
  <si>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</si>
  <si>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</si>
  <si>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</si>
  <si>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</si>
  <si>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</si>
  <si>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</si>
  <si>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</si>
  <si>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</si>
  <si>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</si>
  <si>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</si>
  <si>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</si>
  <si>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</si>
  <si>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</si>
  <si>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</si>
  <si>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</si>
  <si>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</si>
  <si>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</si>
  <si>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</si>
  <si>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</si>
  <si>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</si>
  <si>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</si>
  <si>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</si>
  <si>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</si>
  <si>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</si>
  <si>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</si>
  <si>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</si>
  <si>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</si>
  <si>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</si>
  <si>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</si>
  <si>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</si>
  <si>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</si>
  <si>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</si>
  <si>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</si>
  <si>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</si>
  <si>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</si>
  <si>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</si>
  <si>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</si>
  <si>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</si>
  <si>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</si>
  <si>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</si>
  <si>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</si>
  <si>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</si>
  <si>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</si>
  <si>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</si>
  <si>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</si>
  <si>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</si>
  <si>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</si>
  <si>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</si>
  <si>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</si>
  <si>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</si>
  <si>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</si>
  <si>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</si>
  <si>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</si>
  <si>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</si>
  <si>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</si>
  <si>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</si>
  <si>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</si>
  <si>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</si>
  <si>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</si>
  <si>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</si>
  <si>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</si>
  <si>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</si>
  <si>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</si>
  <si>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</si>
  <si>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</si>
  <si>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</si>
  <si>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</si>
  <si>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</si>
  <si>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</si>
  <si>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</si>
  <si>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</si>
  <si>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</si>
  <si>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</si>
  <si>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</si>
  <si>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</si>
  <si>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</si>
  <si>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</si>
  <si>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</si>
  <si>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</si>
  <si>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</si>
  <si>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</si>
  <si>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</si>
  <si>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</si>
  <si>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</si>
  <si>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</si>
  <si>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</si>
  <si>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</si>
  <si>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</si>
  <si>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</si>
  <si>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</si>
  <si>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</si>
  <si>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</si>
  <si>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</si>
  <si>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</si>
  <si>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</si>
  <si>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</si>
  <si>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</si>
  <si>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</si>
  <si>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</si>
  <si>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</si>
  <si>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</si>
  <si>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</si>
  <si>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</si>
  <si>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</si>
  <si>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</si>
  <si>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</si>
  <si>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</si>
  <si>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</si>
  <si>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</si>
  <si>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</si>
  <si>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</si>
  <si>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</si>
  <si>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</si>
  <si>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</si>
  <si>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</si>
  <si>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</si>
  <si>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</si>
  <si>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</si>
  <si>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</si>
  <si>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</si>
  <si>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</si>
  <si>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</si>
  <si>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</si>
  <si>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</si>
  <si>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</si>
  <si>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</si>
  <si>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</si>
  <si>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</si>
  <si>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</si>
  <si>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</si>
  <si>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</si>
  <si>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</si>
  <si>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</si>
  <si>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</si>
  <si>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</si>
  <si>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</si>
  <si>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</si>
  <si>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</si>
  <si>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</si>
  <si>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</si>
  <si>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</si>
  <si>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</si>
  <si>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</si>
  <si>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</si>
  <si>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</si>
  <si>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</si>
  <si>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</si>
  <si>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</si>
  <si>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</si>
  <si>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</si>
  <si>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</si>
  <si>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</si>
  <si>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</si>
  <si>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</si>
  <si>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</si>
  <si>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</si>
  <si>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</si>
  <si>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</si>
  <si>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</si>
  <si>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</si>
  <si>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</si>
  <si>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</si>
  <si>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</si>
  <si>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</si>
  <si>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</si>
  <si>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</si>
  <si>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</si>
  <si>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</si>
  <si>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</si>
  <si>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</si>
  <si>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</si>
  <si>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</si>
  <si>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</si>
  <si>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</si>
  <si>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</si>
  <si>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</si>
  <si>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</si>
  <si>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</si>
  <si>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</si>
  <si>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</si>
  <si>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</si>
  <si>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</si>
  <si>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</si>
  <si>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</si>
  <si>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</si>
  <si>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</si>
  <si>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</si>
  <si>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</si>
  <si>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</si>
  <si>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</si>
  <si>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</si>
  <si>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</si>
  <si>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</si>
  <si>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</si>
  <si>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</si>
  <si>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</si>
  <si>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</si>
  <si>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</si>
  <si>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</si>
  <si>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</si>
  <si>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</si>
  <si>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</si>
  <si>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</si>
  <si>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</si>
  <si>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</si>
  <si>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</si>
  <si>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</si>
  <si>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</si>
  <si>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</si>
  <si>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</si>
  <si>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</si>
  <si>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</si>
  <si>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</si>
  <si>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</si>
  <si>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</si>
  <si>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</si>
  <si>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</si>
  <si>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</si>
  <si>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</si>
  <si>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</si>
  <si>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</si>
  <si>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</si>
  <si>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</si>
  <si>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</si>
  <si>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</si>
  <si>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</si>
  <si>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</si>
  <si>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</si>
  <si>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</si>
  <si>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</si>
  <si>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</si>
  <si>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</si>
  <si>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</si>
  <si>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</si>
  <si>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</si>
  <si>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</si>
  <si>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</si>
  <si>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</si>
  <si>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</si>
  <si>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</si>
  <si>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</si>
  <si>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</si>
  <si>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</si>
  <si>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</si>
  <si>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</si>
  <si>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</si>
  <si>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</si>
  <si>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</si>
  <si>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</si>
  <si>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</si>
  <si>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</si>
  <si>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</si>
  <si>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</si>
  <si>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</si>
  <si>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</si>
  <si>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</si>
  <si>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</si>
  <si>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</si>
  <si>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</si>
  <si>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</si>
  <si>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</si>
  <si>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</si>
  <si>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</si>
  <si>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</si>
  <si>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</si>
  <si>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</si>
  <si>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</si>
  <si>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</si>
  <si>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</si>
  <si>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</si>
  <si>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</si>
  <si>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</si>
  <si>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</si>
  <si>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</si>
  <si>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</si>
  <si>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</si>
  <si>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</si>
  <si>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</si>
  <si>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</si>
  <si>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</si>
  <si>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</si>
  <si>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</si>
  <si>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</si>
  <si>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</si>
  <si>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</si>
  <si>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</si>
  <si>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</si>
  <si>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</si>
  <si>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</si>
  <si>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</si>
  <si>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</si>
  <si>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</si>
  <si>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</si>
  <si>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</si>
  <si>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</si>
  <si>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</si>
  <si>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</si>
  <si>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</si>
  <si>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</si>
  <si>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</si>
  <si>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</si>
  <si>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</si>
  <si>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</si>
  <si>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</si>
  <si>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</si>
  <si>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</si>
  <si>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</si>
  <si>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</si>
  <si>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</si>
  <si>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</si>
  <si>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</si>
  <si>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</si>
  <si>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</si>
  <si>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</si>
  <si>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</si>
  <si>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</si>
  <si>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</si>
  <si>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</si>
  <si>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</si>
  <si>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</si>
  <si>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</si>
  <si>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</si>
  <si>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</si>
  <si>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</si>
  <si>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</si>
  <si>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</si>
  <si>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</si>
  <si>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</si>
  <si>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</si>
  <si>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</si>
  <si>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</si>
  <si>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</si>
  <si>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</si>
  <si>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</si>
  <si>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</si>
  <si>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</si>
  <si>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</si>
  <si>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</si>
  <si>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</si>
  <si>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</si>
  <si>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</si>
  <si>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</si>
  <si>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</si>
  <si>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</si>
  <si>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</si>
  <si>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</si>
  <si>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</si>
  <si>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</si>
  <si>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</si>
  <si>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</si>
  <si>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</si>
  <si>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</si>
  <si>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</si>
  <si>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</si>
  <si>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</si>
  <si>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</si>
  <si>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</si>
  <si>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</si>
  <si>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</si>
  <si>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</si>
  <si>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</si>
  <si>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</si>
  <si>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</si>
  <si>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</si>
  <si>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</si>
  <si>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</si>
  <si>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</si>
  <si>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</si>
  <si>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</si>
  <si>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</si>
  <si>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</si>
  <si>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</si>
  <si>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</si>
  <si>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</si>
  <si>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</si>
  <si>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</si>
  <si>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</si>
  <si>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</si>
  <si>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</si>
  <si>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</si>
  <si>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</si>
  <si>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</si>
  <si>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</si>
  <si>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</si>
  <si>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</si>
  <si>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</si>
  <si>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</si>
  <si>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</si>
  <si>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</si>
  <si>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</si>
  <si>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</si>
  <si>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</si>
  <si>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</si>
  <si>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</si>
  <si>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</si>
  <si>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</si>
  <si>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</si>
  <si>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</si>
  <si>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</si>
  <si>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</si>
  <si>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</si>
  <si>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</si>
  <si>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</si>
  <si>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</si>
  <si>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</si>
  <si>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</si>
  <si>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</si>
  <si>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</si>
  <si>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</si>
  <si>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</si>
  <si>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</si>
  <si>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</si>
  <si>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</si>
  <si>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</si>
  <si>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</si>
  <si>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</si>
  <si>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</si>
  <si>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</si>
  <si>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</si>
  <si>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</si>
  <si>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</si>
  <si>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</si>
  <si>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</si>
  <si>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</si>
  <si>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</si>
  <si>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</si>
  <si>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</si>
  <si>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</si>
  <si>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</si>
  <si>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</si>
  <si>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</si>
  <si>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</si>
  <si>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</si>
  <si>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</si>
  <si>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</si>
  <si>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</si>
  <si>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</si>
  <si>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</si>
  <si>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</si>
  <si>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</si>
  <si>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</si>
  <si>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</si>
  <si>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</si>
  <si>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</si>
  <si>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</si>
  <si>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</si>
  <si>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</si>
  <si>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</si>
  <si>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</si>
  <si>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</si>
  <si>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</si>
  <si>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</si>
  <si>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</si>
  <si>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</si>
  <si>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</si>
  <si>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</si>
  <si>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</si>
  <si>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</si>
  <si>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</si>
  <si>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</si>
  <si>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</si>
  <si>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</si>
  <si>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</si>
  <si>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</si>
  <si>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</si>
  <si>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</si>
  <si>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</si>
  <si>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</si>
  <si>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</si>
  <si>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</si>
  <si>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</si>
  <si>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</si>
  <si>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</si>
  <si>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</si>
  <si>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</si>
  <si>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</si>
  <si>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</si>
  <si>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</si>
  <si>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</si>
  <si>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</si>
  <si>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</si>
  <si>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</si>
  <si>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</si>
  <si>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</si>
  <si>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</si>
  <si>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</si>
  <si>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</si>
  <si>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</si>
  <si>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</si>
  <si>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</si>
  <si>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</si>
  <si>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</si>
  <si>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</si>
  <si>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</si>
  <si>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</si>
  <si>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</si>
  <si>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</si>
  <si>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</si>
  <si>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</si>
  <si>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</si>
  <si>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</si>
  <si>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</si>
  <si>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</si>
  <si>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</si>
  <si>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</si>
  <si>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</si>
  <si>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</si>
  <si>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</si>
  <si>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</si>
  <si>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</si>
  <si>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</si>
  <si>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</si>
  <si>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</si>
  <si>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</si>
  <si>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</si>
  <si>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</si>
  <si>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</si>
  <si>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</si>
  <si>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</si>
  <si>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</si>
  <si>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</si>
  <si>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</si>
  <si>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</si>
  <si>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</si>
  <si>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</si>
  <si>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</si>
  <si>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</si>
  <si>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</si>
  <si>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</si>
  <si>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</si>
  <si>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</si>
  <si>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</si>
  <si>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</si>
  <si>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</si>
  <si>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</si>
  <si>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</si>
  <si>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</si>
  <si>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</si>
  <si>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</si>
  <si>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</si>
  <si>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</si>
  <si>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</si>
  <si>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</si>
  <si>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</si>
  <si>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</si>
  <si>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</si>
  <si>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</si>
  <si>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</si>
  <si>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</si>
  <si>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</si>
  <si>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</si>
  <si>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</si>
  <si>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</si>
  <si>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</si>
  <si>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</si>
  <si>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</si>
  <si>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</si>
  <si>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</si>
  <si>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</si>
  <si>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</si>
  <si>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</si>
  <si>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</si>
  <si>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</si>
  <si>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</si>
  <si>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</si>
  <si>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</si>
  <si>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</si>
  <si>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</si>
  <si>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</si>
  <si>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</si>
  <si>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</si>
  <si>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</si>
  <si>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</si>
  <si>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</si>
  <si>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</si>
  <si>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</si>
  <si>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</si>
  <si>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</si>
  <si>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</si>
  <si>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</si>
  <si>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</si>
  <si>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</si>
  <si>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</si>
  <si>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</si>
  <si>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</si>
  <si>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</si>
  <si>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</si>
  <si>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</si>
  <si>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</si>
  <si>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</si>
  <si>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</si>
  <si>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</si>
  <si>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</si>
  <si>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</si>
  <si>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</si>
  <si>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</si>
  <si>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</si>
  <si>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</si>
  <si>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</si>
  <si>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</si>
  <si>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</si>
  <si>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</si>
  <si>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</si>
  <si>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</si>
  <si>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</si>
  <si>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</si>
  <si>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</si>
  <si>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</si>
  <si>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</si>
  <si>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</si>
  <si>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</si>
  <si>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</si>
  <si>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</si>
  <si>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</si>
  <si>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</si>
  <si>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</si>
  <si>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</si>
  <si>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</si>
  <si>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</si>
  <si>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</si>
  <si>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</si>
  <si>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</si>
  <si>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</si>
  <si>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</si>
  <si>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</si>
  <si>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</si>
  <si>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</si>
  <si>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</si>
  <si>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</si>
  <si>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</si>
  <si>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</si>
  <si>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</si>
  <si>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</si>
  <si>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</si>
  <si>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</si>
  <si>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</si>
  <si>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</si>
  <si>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</si>
  <si>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</si>
  <si>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</si>
  <si>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</si>
  <si>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</si>
  <si>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</si>
  <si>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</si>
  <si>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</si>
  <si>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</si>
  <si>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</si>
  <si>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</si>
  <si>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</si>
  <si>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</si>
  <si>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</si>
  <si>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</si>
  <si>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</si>
  <si>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</si>
  <si>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</si>
  <si>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</si>
  <si>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</si>
  <si>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</si>
  <si>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</si>
  <si>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</si>
  <si>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</si>
  <si>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</si>
  <si>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</si>
  <si>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</si>
  <si>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</si>
  <si>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</si>
  <si>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</si>
  <si>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</si>
  <si>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</si>
  <si>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</si>
  <si>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</si>
  <si>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</si>
  <si>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</si>
  <si>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</si>
  <si>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</si>
  <si>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</si>
  <si>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</si>
  <si>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</si>
  <si>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</si>
  <si>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</si>
  <si>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</si>
  <si>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</si>
  <si>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</si>
  <si>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</si>
  <si>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</si>
  <si>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</si>
  <si>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</si>
  <si>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</si>
  <si>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</si>
  <si>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</si>
  <si>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</si>
  <si>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</si>
  <si>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</si>
  <si>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</si>
  <si>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</si>
  <si>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</si>
  <si>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</si>
  <si>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</si>
  <si>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</si>
  <si>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</si>
  <si>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</si>
  <si>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</si>
  <si>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</si>
  <si>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</si>
  <si>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</si>
  <si>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</si>
  <si>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</si>
  <si>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</si>
  <si>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</si>
  <si>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</si>
  <si>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</si>
  <si>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</si>
  <si>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</si>
  <si>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</si>
  <si>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</si>
  <si>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</si>
  <si>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</si>
  <si>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</si>
  <si>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</si>
  <si>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</si>
  <si>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</si>
  <si>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</si>
  <si>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</si>
  <si>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</si>
  <si>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</si>
  <si>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</si>
  <si>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</si>
  <si>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</si>
  <si>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</si>
  <si>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</si>
  <si>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</si>
  <si>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</si>
  <si>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</si>
  <si>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</si>
  <si>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</si>
  <si>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</si>
  <si>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</si>
  <si>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</si>
  <si>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</si>
  <si>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</si>
  <si>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</si>
  <si>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</si>
  <si>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</si>
  <si>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</si>
  <si>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</si>
  <si>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</si>
  <si>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</si>
  <si>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</si>
  <si>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</si>
  <si>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</si>
  <si>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</si>
  <si>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</si>
  <si>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</si>
  <si>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</si>
  <si>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</si>
  <si>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</si>
  <si>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</si>
  <si>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</si>
  <si>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</si>
  <si>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</si>
  <si>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</si>
  <si>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</si>
  <si>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</si>
  <si>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</si>
  <si>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</si>
  <si>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</si>
  <si>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</si>
  <si>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</si>
  <si>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</si>
  <si>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</si>
  <si>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</si>
  <si>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</si>
  <si>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</si>
  <si>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</si>
  <si>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</si>
  <si>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</si>
  <si>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</si>
  <si>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</si>
  <si>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</si>
  <si>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</si>
  <si>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</si>
  <si>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</si>
  <si>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</si>
  <si>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</si>
  <si>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</si>
  <si>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</si>
  <si>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</si>
  <si>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</si>
  <si>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</si>
  <si>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</si>
  <si>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</si>
  <si>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</si>
  <si>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</si>
  <si>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</si>
  <si>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</si>
  <si>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</si>
  <si>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</si>
  <si>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</si>
  <si>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</si>
  <si>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</si>
  <si>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</si>
  <si>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</si>
  <si>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</si>
  <si>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</si>
  <si>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</si>
  <si>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</si>
  <si>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</si>
  <si>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</si>
  <si>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</si>
  <si>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</si>
  <si>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</si>
  <si>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</si>
  <si>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</si>
  <si>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</si>
  <si>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</si>
  <si>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</si>
  <si>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</si>
  <si>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</si>
  <si>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</si>
  <si>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</si>
  <si>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</si>
  <si>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</si>
  <si>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</si>
  <si>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</si>
  <si>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</si>
  <si>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</si>
  <si>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</si>
  <si>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</si>
  <si>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</si>
  <si>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</si>
  <si>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</si>
  <si>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</si>
  <si>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</si>
  <si>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</si>
  <si>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</si>
  <si>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</si>
  <si>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</si>
  <si>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</si>
  <si>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</si>
  <si>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</si>
  <si>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</si>
  <si>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</si>
  <si>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</si>
  <si>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</si>
  <si>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</si>
  <si>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</si>
  <si>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</si>
  <si>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</si>
  <si>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</si>
  <si>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</si>
  <si>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</si>
  <si>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</si>
  <si>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</si>
  <si>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</si>
  <si>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</si>
  <si>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</si>
  <si>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</si>
  <si>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</si>
  <si>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</si>
  <si>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</si>
  <si>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</si>
  <si>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</si>
  <si>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</si>
  <si>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</si>
  <si>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</si>
  <si>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</si>
  <si>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</si>
  <si>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</si>
  <si>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</si>
  <si>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</si>
  <si>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</si>
  <si>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</si>
  <si>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</si>
  <si>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</si>
  <si>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</si>
  <si>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</si>
  <si>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</si>
  <si>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</si>
  <si>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</si>
  <si>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</si>
  <si>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</si>
  <si>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</si>
  <si>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</si>
  <si>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</si>
  <si>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</si>
  <si>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</si>
  <si>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</si>
  <si>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</si>
  <si>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</si>
  <si>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</si>
  <si>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</si>
  <si>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</si>
  <si>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</si>
  <si>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</si>
  <si>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</si>
  <si>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</si>
  <si>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</si>
  <si>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</si>
  <si>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</si>
  <si>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</si>
  <si>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</si>
  <si>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</si>
  <si>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</si>
  <si>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</si>
  <si>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</si>
  <si>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</si>
  <si>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</si>
  <si>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</si>
  <si>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</si>
  <si>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</si>
  <si>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</si>
  <si>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</si>
  <si>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</si>
  <si>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</si>
  <si>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</si>
  <si>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</si>
  <si>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</si>
  <si>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</si>
  <si>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</si>
  <si>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</si>
  <si>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</si>
  <si>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</si>
  <si>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</si>
  <si>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</si>
  <si>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</si>
  <si>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</si>
  <si>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</si>
  <si>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</si>
  <si>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</si>
  <si>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</si>
  <si>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</si>
  <si>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</si>
  <si>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</si>
  <si>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</si>
  <si>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</si>
  <si>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</si>
  <si>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</si>
  <si>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</si>
  <si>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</si>
  <si>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</si>
  <si>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</si>
  <si>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</si>
  <si>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</si>
  <si>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</si>
  <si>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</si>
  <si>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</si>
  <si>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</si>
  <si>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</si>
  <si>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</si>
  <si>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</si>
  <si>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</si>
  <si>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</si>
  <si>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</si>
  <si>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</si>
  <si>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</si>
  <si>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</si>
  <si>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</si>
  <si>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</si>
  <si>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</si>
  <si>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</si>
  <si>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</si>
  <si>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</si>
  <si>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</si>
  <si>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</si>
  <si>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</si>
  <si>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</si>
  <si>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</si>
  <si>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</si>
  <si>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</si>
  <si>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</si>
  <si>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</si>
  <si>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</si>
  <si>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</si>
  <si>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</si>
  <si>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</si>
  <si>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</si>
  <si>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</si>
  <si>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</si>
  <si>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</si>
  <si>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</si>
  <si>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</si>
  <si>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</si>
  <si>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</si>
  <si>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</si>
  <si>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</si>
  <si>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</si>
  <si>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</si>
  <si>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</si>
  <si>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</si>
  <si>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</si>
  <si>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</si>
  <si>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</si>
  <si>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</si>
  <si>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</si>
  <si>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</si>
  <si>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</si>
  <si>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</si>
  <si>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</si>
  <si>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</si>
  <si>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</si>
  <si>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</si>
  <si>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</si>
  <si>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</si>
  <si>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</si>
  <si>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</si>
  <si>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</si>
  <si>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</si>
  <si>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</si>
  <si>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</si>
  <si>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</si>
  <si>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</si>
  <si>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</si>
  <si>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</si>
  <si>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</si>
  <si>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</si>
  <si>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</si>
  <si>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</si>
  <si>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</si>
  <si>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</si>
  <si>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</si>
  <si>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</si>
  <si>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</si>
  <si>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</si>
  <si>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</si>
  <si>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</si>
  <si>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</si>
  <si>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</si>
  <si>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</si>
  <si>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</si>
  <si>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</si>
  <si>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</si>
  <si>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</si>
  <si>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</si>
  <si>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</si>
  <si>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</si>
  <si>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</si>
  <si>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</si>
  <si>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</si>
  <si>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</si>
  <si>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</si>
  <si>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</si>
  <si>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</si>
  <si>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</si>
  <si>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</si>
  <si>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</si>
  <si>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</si>
  <si>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</si>
  <si>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</si>
  <si>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</si>
  <si>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</si>
  <si>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</si>
  <si>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</si>
  <si>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</si>
  <si>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</si>
  <si>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</si>
  <si>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</si>
  <si>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</si>
  <si>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</si>
  <si>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</si>
  <si>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</si>
  <si>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</si>
  <si>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</si>
  <si>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</si>
  <si>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</si>
  <si>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</si>
  <si>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</si>
  <si>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</si>
  <si>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</si>
  <si>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</si>
  <si>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</si>
  <si>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</si>
  <si>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</si>
  <si>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</si>
  <si>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</si>
  <si>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</si>
  <si>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</si>
  <si>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</si>
  <si>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</si>
  <si>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</si>
  <si>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</si>
  <si>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</si>
  <si>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</si>
  <si>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</si>
  <si>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</si>
  <si>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</si>
  <si>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</si>
  <si>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</si>
  <si>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</si>
  <si>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</si>
  <si>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</si>
  <si>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</si>
  <si>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</si>
  <si>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</si>
  <si>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</si>
  <si>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</si>
  <si>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</si>
  <si>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</si>
  <si>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</si>
  <si>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</si>
  <si>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</si>
  <si>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</si>
  <si>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</si>
  <si>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</si>
  <si>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</si>
  <si>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</si>
  <si>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</si>
  <si>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</si>
  <si>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</si>
  <si>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</si>
  <si>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</si>
  <si>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</si>
  <si>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</si>
  <si>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</si>
  <si>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</si>
  <si>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</si>
  <si>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</si>
  <si>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</si>
  <si>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</si>
  <si>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</si>
  <si>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</si>
  <si>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</si>
  <si>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</si>
  <si>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</si>
  <si>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</si>
  <si>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</si>
  <si>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</si>
  <si>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</si>
  <si>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</si>
  <si>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</si>
  <si>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</si>
  <si>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</si>
  <si>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</si>
  <si>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</si>
  <si>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</si>
  <si>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</si>
  <si>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</si>
  <si>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</si>
  <si>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</si>
  <si>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</si>
  <si>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</si>
  <si>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</si>
  <si>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</si>
  <si>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</si>
  <si>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</si>
  <si>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</si>
  <si>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</si>
  <si>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</si>
  <si>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</si>
  <si>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</si>
  <si>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</si>
  <si>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</si>
  <si>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</si>
  <si>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</si>
  <si>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</si>
  <si>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</si>
  <si>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</si>
  <si>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</si>
  <si>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</si>
  <si>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</si>
  <si>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</si>
  <si>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</si>
  <si>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</si>
  <si>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</si>
  <si>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</si>
  <si>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</si>
  <si>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</si>
  <si>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</si>
  <si>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</si>
  <si>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</si>
  <si>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</si>
  <si>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</si>
  <si>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</si>
  <si>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</si>
  <si>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</si>
  <si>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</si>
  <si>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</si>
  <si>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</si>
  <si>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</si>
  <si>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</si>
  <si>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</si>
  <si>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</si>
  <si>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</si>
  <si>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</si>
  <si>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</si>
  <si>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</si>
  <si>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</si>
  <si>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</si>
  <si>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</si>
  <si>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</si>
  <si>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</si>
  <si>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</si>
  <si>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</si>
  <si>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</si>
  <si>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</si>
  <si>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</si>
  <si>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</si>
  <si>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</si>
  <si>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</si>
  <si>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</si>
  <si>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</si>
  <si>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</si>
  <si>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</si>
  <si>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</si>
  <si>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</si>
  <si>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</si>
  <si>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</si>
  <si>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</si>
  <si>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</si>
  <si>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</si>
  <si>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</si>
  <si>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</si>
  <si>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</si>
  <si>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</si>
  <si>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</si>
  <si>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</si>
  <si>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</si>
  <si>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</si>
  <si>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</si>
  <si>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</si>
  <si>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</si>
  <si>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</si>
  <si>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</si>
  <si>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</si>
  <si>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</si>
  <si>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</si>
  <si>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</si>
  <si>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</si>
  <si>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</si>
  <si>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</si>
  <si>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</si>
  <si>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</si>
  <si>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</si>
  <si>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</si>
  <si>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</si>
  <si>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</si>
  <si>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</si>
  <si>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</si>
  <si>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</si>
  <si>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</si>
  <si>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</si>
  <si>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</si>
  <si>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</si>
  <si>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</si>
  <si>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</si>
  <si>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</si>
  <si>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</si>
  <si>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</si>
  <si>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</si>
  <si>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</si>
  <si>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</si>
  <si>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</si>
  <si>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</si>
  <si>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</si>
  <si>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</si>
  <si>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</si>
  <si>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</si>
  <si>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</si>
  <si>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</si>
  <si>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</si>
  <si>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</si>
  <si>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</si>
  <si>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</si>
  <si>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</si>
  <si>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</si>
  <si>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</si>
  <si>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</si>
  <si>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</si>
  <si>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</si>
  <si>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</si>
  <si>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</si>
  <si>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</si>
  <si>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</si>
  <si>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</si>
  <si>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</si>
  <si>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</si>
  <si>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</si>
  <si>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</si>
  <si>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</si>
  <si>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</si>
  <si>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</si>
  <si>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</si>
  <si>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</si>
  <si>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</si>
  <si>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</si>
  <si>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</si>
  <si>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</si>
  <si>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</si>
  <si>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</si>
  <si>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</si>
  <si>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</si>
  <si>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</si>
  <si>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</si>
  <si>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</si>
  <si>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</si>
  <si>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</si>
  <si>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</si>
  <si>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</si>
  <si>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</si>
  <si>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</si>
  <si>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</si>
  <si>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</si>
  <si>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</si>
  <si>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</si>
  <si>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</si>
  <si>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</si>
  <si>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</si>
  <si>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</si>
  <si>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</si>
  <si>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</si>
  <si>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</si>
  <si>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</si>
  <si>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</si>
  <si>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</si>
  <si>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</si>
  <si>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</si>
  <si>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</si>
  <si>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</si>
  <si>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</si>
  <si>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</si>
  <si>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</si>
  <si>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</si>
  <si>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</si>
  <si>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</si>
  <si>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</si>
  <si>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</si>
  <si>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</si>
  <si>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</si>
  <si>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</si>
  <si>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</si>
  <si>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</si>
  <si>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</si>
  <si>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</si>
  <si>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</si>
  <si>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</si>
  <si>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</si>
  <si>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</si>
  <si>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</si>
  <si>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</si>
  <si>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</si>
  <si>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</si>
  <si>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</si>
  <si>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</si>
  <si>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</si>
  <si>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</si>
  <si>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</si>
  <si>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</si>
  <si>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</si>
  <si>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</si>
  <si>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</si>
  <si>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</si>
  <si>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</si>
  <si>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</si>
  <si>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</si>
  <si>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</si>
  <si>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</si>
  <si>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</si>
  <si>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</si>
  <si>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</si>
  <si>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</si>
  <si>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</si>
  <si>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</si>
  <si>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</si>
  <si>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</si>
  <si>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</si>
  <si>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</si>
  <si>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</si>
  <si>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</si>
  <si>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</si>
  <si>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</si>
  <si>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</si>
  <si>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</si>
  <si>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</si>
  <si>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</si>
  <si>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</si>
  <si>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</si>
  <si>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</si>
  <si>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</si>
  <si>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</si>
  <si>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</si>
  <si>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</si>
  <si>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</si>
  <si>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</si>
  <si>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</si>
  <si>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</si>
  <si>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</si>
  <si>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</si>
  <si>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</si>
  <si>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</si>
  <si>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</si>
  <si>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</si>
  <si>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</si>
  <si>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</si>
  <si>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</si>
  <si>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</si>
  <si>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</si>
  <si>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</si>
  <si>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</si>
  <si>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</si>
  <si>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</si>
  <si>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</si>
  <si>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</si>
  <si>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</si>
  <si>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</si>
  <si>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</si>
  <si>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</si>
  <si>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</si>
  <si>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</si>
  <si>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</si>
  <si>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</si>
  <si>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</si>
  <si>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</si>
  <si>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</si>
  <si>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</si>
  <si>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</si>
  <si>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</si>
  <si>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</si>
  <si>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</si>
  <si>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</si>
  <si>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</si>
  <si>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</si>
  <si>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</si>
  <si>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</si>
  <si>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</si>
  <si>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</si>
  <si>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</si>
  <si>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</si>
  <si>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</si>
  <si>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</si>
  <si>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</si>
  <si>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</si>
  <si>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</si>
  <si>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</si>
  <si>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</si>
  <si>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</si>
  <si>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</si>
  <si>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</si>
  <si>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</si>
  <si>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</si>
  <si>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</si>
  <si>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</si>
  <si>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</si>
  <si>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</si>
  <si>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</si>
  <si>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</si>
  <si>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</si>
  <si>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</si>
  <si>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</si>
  <si>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</si>
  <si>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</si>
  <si>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</si>
  <si>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</si>
  <si>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</si>
  <si>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</si>
  <si>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</si>
  <si>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</si>
  <si>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</si>
  <si>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</si>
  <si>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</si>
  <si>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</si>
  <si>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</si>
  <si>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</si>
  <si>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</si>
  <si>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</si>
  <si>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</si>
  <si>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</si>
  <si>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</si>
  <si>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</si>
  <si>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</si>
  <si>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</si>
  <si>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</si>
  <si>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</si>
  <si>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</si>
  <si>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</si>
  <si>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</si>
  <si>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</si>
  <si>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</si>
  <si>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</si>
  <si>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</si>
  <si>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</si>
  <si>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</si>
  <si>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</si>
  <si>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</si>
  <si>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</si>
  <si>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</si>
  <si>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</si>
  <si>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</si>
  <si>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</si>
  <si>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</si>
  <si>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</si>
  <si>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</si>
  <si>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</si>
  <si>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</si>
  <si>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</si>
  <si>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</si>
  <si>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</si>
  <si>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</si>
  <si>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</si>
  <si>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</si>
  <si>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</si>
  <si>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</si>
  <si>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</si>
  <si>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</si>
  <si>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</si>
  <si>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</si>
  <si>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</si>
  <si>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</si>
  <si>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</si>
  <si>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</si>
  <si>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</si>
  <si>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</si>
  <si>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</si>
  <si>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</si>
  <si>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</si>
  <si>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</si>
  <si>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</si>
  <si>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</si>
  <si>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</si>
  <si>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LIFE PATHS - REPORTED SPEECH</t>
  </si>
  <si>
    <t>Cicle</t>
  </si>
  <si>
    <t>Curs</t>
  </si>
  <si>
    <t>Matèria obligatòria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</si>
  <si>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</si>
  <si>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This learning situation invites 4th ESO students to master reported speech through a purposeful, real-world task: interviewing someone whose life-path inspires them—relative, neighbour, athlete, entrepreneur—then retelling what was said. It capitalises on adolescents’ curiosity about future choices while honing questioning, listening, and summarising skills in English. The unit follows the “Health &amp; Well-Being – Modals” project, recycling the interview format but shifting focus from advice to narration; it also prepares learners for the upcoming “Question Forms – Job Interview” unit, creating a coherent progression of speaking competencies.</t>
  </si>
  <si>
    <r>
      <rPr>
        <rFont val="Calibri"/>
        <i/>
        <color theme="1"/>
        <sz val="18.0"/>
      </rPr>
      <t xml:space="preserve">REPTE
</t>
    </r>
    <r>
      <rPr>
        <rFont val="Calibri"/>
        <i/>
        <color theme="1"/>
        <sz val="14.0"/>
      </rPr>
      <t xml:space="preserve">
</t>
    </r>
    <r>
      <rPr>
        <rFont val="Calibri"/>
        <i/>
        <color theme="1"/>
        <sz val="11.0"/>
      </rPr>
      <t>Què cal aconseguir?</t>
    </r>
  </si>
  <si>
    <t>Learners must draft a set of clear, relevant interview questions in direct speech, accurately transform each into reported speech, conduct or simulate the interview, and deliver an engaging, text-free oral presentation that profiles the interviewee, states their pre-interview curiosities, and summarises key insights—demonstrating confident use of both direct and reported structures.</t>
  </si>
  <si>
    <r>
      <rPr>
        <rFont val="Calibri"/>
        <i/>
        <color rgb="FF000000"/>
        <sz val="18.0"/>
      </rPr>
      <t>PRODUCTE FINAL</t>
    </r>
    <r>
      <rPr>
        <rFont val="Calibri"/>
        <i/>
        <color rgb="FF000000"/>
        <sz val="14.0"/>
      </rPr>
      <t xml:space="preserve"> </t>
    </r>
  </si>
  <si>
    <t>The final product is a short oral presentation supported only by visuals (no on-screen text) plus, for groups, an audio or video recording of the interview. Students submit a single slide deck or video file containing: (1) an image-based profile of the interviewee; (2) the list of direct-speech questions paired with their reported-speech versions (shown briefly or provided as an appendix); and (3) a spoken reflection on what they learned and why it matters to their own life path.</t>
  </si>
  <si>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</si>
  <si>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</si>
  <si>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</si>
  <si>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</si>
  <si>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</si>
  <si>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</si>
  <si>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</si>
  <si>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</si>
  <si>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</si>
  <si>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</si>
  <si>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</si>
  <si>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</si>
  <si>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</si>
  <si>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</si>
  <si>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</si>
  <si>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</si>
  <si>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r>
      <rPr>
        <rFont val="Söhne"/>
        <b/>
        <color rgb="FF000000"/>
        <sz val="11.0"/>
      </rPr>
      <t>Ability</t>
    </r>
    <r>
      <rPr>
        <rFont val="Söhne"/>
        <color rgb="FF000000"/>
        <sz val="11.0"/>
      </rPr>
      <t xml:space="preserve">:
Students will develop the ability to write clear, structured, and cohesive texts (e.g., essays, blog comments) and multimodal texts (e.g., digital presentations), applying strategies such as planning, drafting, revising, editing, and self-regulation. Peer review will be used to help refine their writing.
</t>
    </r>
    <r>
      <rPr>
        <rFont val="Söhne"/>
        <b/>
        <color rgb="FF000000"/>
        <sz val="11.0"/>
      </rPr>
      <t>Knowledge</t>
    </r>
    <r>
      <rPr>
        <rFont val="Söhne"/>
        <color rgb="FF000000"/>
        <sz val="11.0"/>
      </rPr>
      <t xml:space="preserve">:
Students will learn how to use appropriate language structures, such as future tenses, and adhere to the conventions of different text genres (e.g., formal emails, essays, blogs). They will also understand the importance of text coherence and cohesion when conveying ideas effectively.
</t>
    </r>
    <r>
      <rPr>
        <rFont val="Söhne"/>
        <b/>
        <color rgb="FF000000"/>
        <sz val="11.0"/>
      </rPr>
      <t>Finalitat</t>
    </r>
    <r>
      <rPr>
        <rFont val="Söhne"/>
        <color rgb="FF000000"/>
        <sz val="11.0"/>
      </rPr>
      <t>:
The purpose is to equip students with the skills to produce well-organized and accurate written texts that meet specific communicative needs, such as expressing future study or career plans. Students will become progressively more autonomous in their ability to regulate and improve their writing, responding effectively and creatively to real-world demands.</t>
    </r>
  </si>
  <si>
    <r>
      <rPr>
        <rFont val="Calibri"/>
        <b/>
        <color rgb="FF000000"/>
        <sz val="11.0"/>
      </rPr>
      <t>Acció</t>
    </r>
    <r>
      <rPr>
        <rFont val="Calibri"/>
        <color rgb="FF000000"/>
        <sz val="11.0"/>
      </rPr>
      <t xml:space="preserve">:
Students will write and present a medium-length text (e.g., an essay or blog post) related to their future study or career plans. They will also engage in discussions or debates using oral communication to demonstrate understanding of the topic.
</t>
    </r>
    <r>
      <rPr>
        <rFont val="Calibri"/>
        <b/>
        <color rgb="FF000000"/>
        <sz val="11.0"/>
      </rPr>
      <t>Saber</t>
    </r>
    <r>
      <rPr>
        <rFont val="Calibri"/>
        <color rgb="FF000000"/>
        <sz val="11.0"/>
      </rPr>
      <t xml:space="preserve">:
The written and oral texts will show clarity, coherence, and cohesion with appropriate use of future tenses and respect for the conventions of the text type (formal vs. informal). Students will also demonstrate an understanding of intellectual property by producing original content without plagiarism.
</t>
    </r>
    <r>
      <rPr>
        <rFont val="Calibri"/>
        <b/>
        <color rgb="FF000000"/>
        <sz val="11.0"/>
      </rPr>
      <t>Context</t>
    </r>
    <r>
      <rPr>
        <rFont val="Calibri"/>
        <color rgb="FF000000"/>
        <sz val="11.0"/>
      </rPr>
      <t>:
This will be applied in real-life scenarios, such as describing future goals in a written task or engaging in a debate about future career choices. Students will use digital tools like Google Classroom to submit and edit their work, ensuring the content is relevant to their personal experience and future aspirations.</t>
    </r>
  </si>
  <si>
    <t>The student is unable to produce coherent or structured texts using future tenses. There is little to no understanding of text type conventions, and the content lacks clarity, cohesion, and originality. The student struggles to participate in oral tasks and has made no progress in self-regulation or revision.</t>
  </si>
  <si>
    <t>The student can write basic texts with some clarity and coherence. However, there may be occasional mistakes in the use of future tenses and structure. The student participates in oral tasks but may lack confidence or fluency. Limited ability to revise and edit their work independently, and minimal digital tool use.</t>
  </si>
  <si>
    <t>The student produces clear and cohesive texts, with good use of future tenses and adherence to the conventions of the text type. The student can engage actively in debates or presentations with notable fluency. They can revise and edit their work independently with minimal guidance and use digital tools effectively to present and submit their work.</t>
  </si>
  <si>
    <t>The student consistently writes high-quality, coherent, and well-structured texts using future tenses accurately and appropriately across different genres. They excel in oral communication, demonstrating excellent fluency and confidence. The student shows strong autonomy in revising, editing, and improving their work, and utilizes digital tools efficiently, while respecting intellectual property and creating original content.</t>
  </si>
  <si>
    <r>
      <rPr>
        <rFont val="Arial"/>
        <b/>
        <color theme="1"/>
        <sz val="11.0"/>
      </rPr>
      <t>Capacitat</t>
    </r>
    <r>
      <rPr>
        <rFont val="Arial"/>
        <color theme="1"/>
        <sz val="11.0"/>
      </rPr>
      <t xml:space="preserve">:
Students will develop the ability to produce coherent and clear oral texts, such as presentations, debates, and role-plays, using appropriate language and adapting to different registers (formal and informal). They will also engage in multimodal interactions (e.g., integrating visuals into presentations) with confidence and autonomy.
</t>
    </r>
    <r>
      <rPr>
        <rFont val="Arial"/>
        <b/>
        <color theme="1"/>
        <sz val="11.0"/>
      </rPr>
      <t>Saber</t>
    </r>
    <r>
      <rPr>
        <rFont val="Arial"/>
        <color theme="1"/>
        <sz val="11.0"/>
      </rPr>
      <t xml:space="preserve">:
Students will learn to express their ideas, feelings, and concepts clearly in different oral contexts (debates, discussions, interviews). They will also learn to participate in varied oral interactions, respecting genre conventions (formal vs. informal) and building personal connections through effective communication strategies.
</t>
    </r>
    <r>
      <rPr>
        <rFont val="Arial"/>
        <b/>
        <color theme="1"/>
        <sz val="11.0"/>
      </rPr>
      <t>Finalitat</t>
    </r>
    <r>
      <rPr>
        <rFont val="Arial"/>
        <color theme="1"/>
        <sz val="11.0"/>
      </rPr>
      <t>:
The purpose is for students to effectively communicate their thoughts and plans related to their future careers and studies. Through autonomous participation in oral tasks, students will build the confidence needed to express themselves in real-life situations such as interviews, discussions, and group work. The goal is for them to establish meaningful connections with peers while applying appropriate discourse strategies.</t>
    </r>
  </si>
  <si>
    <r>
      <rPr>
        <rFont val="Calibri"/>
        <b/>
        <color theme="1"/>
        <sz val="11.0"/>
      </rPr>
      <t>Acció</t>
    </r>
    <r>
      <rPr>
        <rFont val="Calibri"/>
        <color theme="1"/>
        <sz val="11.0"/>
      </rPr>
      <t xml:space="preserve">:
Students will participate in oral tasks such as debates, discussions, and role-plays, where they will demonstrate their ability to initiate, maintain, and conclude a conversation. They will use strategies to take turns speaking, request clarification, reformulate ideas, and engage in collaborative problem-solving.
</t>
    </r>
    <r>
      <rPr>
        <rFont val="Calibri"/>
        <b/>
        <color theme="1"/>
        <sz val="11.0"/>
      </rPr>
      <t>Saber</t>
    </r>
    <r>
      <rPr>
        <rFont val="Calibri"/>
        <color theme="1"/>
        <sz val="11.0"/>
      </rPr>
      <t xml:space="preserve">:
The student’s performance will reflect their knowledge of how to interact in different oral contexts (formal and informal) and use appropriate discourse strategies. They will be able to express their ideas clearly, summarize key points, and engage in debates by contrasting and comparing ideas or resolving conflicts.
</t>
    </r>
    <r>
      <rPr>
        <rFont val="Calibri"/>
        <b/>
        <color theme="1"/>
        <sz val="11.0"/>
      </rPr>
      <t>Context</t>
    </r>
    <r>
      <rPr>
        <rFont val="Calibri"/>
        <color theme="1"/>
        <sz val="11.0"/>
      </rPr>
      <t>:
These skills will be applied in classroom debates on future study or career plans, group discussions, and simulated interviews. Students will demonstrate their ability to manage communication challenges in real-life scenarios, showing proficiency in turn-taking, clarification requests, and problem-solving within the interaction.</t>
    </r>
  </si>
  <si>
    <t>The student struggles to initiate, maintain, or conclude a conversation. They do not demonstrate effective turn-taking or the ability to request clarification or reformulate ideas. Minimal participation in debates and discussions, and little or no effort in problem-solving within interactions.</t>
  </si>
  <si>
    <t>The student can participate in oral tasks but with limited ability to manage communication effectively. They may initiate or respond but with frequent hesitations. Turn-taking, reformulating ideas, or seeking clarification is done inconsistently, and there is minimal contribution to problem-solving or summarizing points during debates.</t>
  </si>
  <si>
    <t>The student demonstrates good control of communication strategies. They can confidently initiate, maintain, and end conversations in debates or discussions, using appropriate language for the context. They can take turns, request clarifications, and reformulate ideas. They also show active engagement in problem-solving and summarizing key ideas in group tasks.</t>
  </si>
  <si>
    <t>The student excels at managing oral communication, showing high autonomy in initiating, maintaining, and concluding conversations. They use strategies like turn-taking, clarifications, and reformulation with ease and adapt fluently to both formal and informal contexts. They demonstrate strong leadership in problem-solving during debates and discussions and effectively summarize and contrast ideas.</t>
  </si>
  <si>
    <r>
      <rPr>
        <rFont val="Calibri, Arial"/>
        <b/>
        <color theme="1"/>
        <sz val="14.0"/>
      </rPr>
      <t xml:space="preserve">OBJECTIUS D'APRENENTATGE DE LA SA
</t>
    </r>
    <r>
      <rPr>
        <rFont val="Calibri, Arial"/>
        <b/>
        <color theme="1"/>
        <sz val="10.0"/>
      </rPr>
      <t>Què volem que aprengui l'alumnat i per a què?</t>
    </r>
    <r>
      <rPr>
        <rFont val="Calibri, Arial"/>
        <b/>
        <color theme="1"/>
        <sz val="14.0"/>
      </rPr>
      <t xml:space="preserve">
</t>
    </r>
    <r>
      <rPr>
        <rFont val="Calibri, Arial"/>
        <b/>
        <color theme="1"/>
        <sz val="11.0"/>
      </rPr>
      <t>CAPACITAT+SABER+FINALITAT</t>
    </r>
  </si>
  <si>
    <t>CRITERIS D’AVALUACIÓ
 DE FINAL DE CICLE</t>
  </si>
  <si>
    <r>
      <rPr>
        <rFont val="Calibri, Arial"/>
        <b/>
        <color theme="1"/>
        <sz val="14.0"/>
      </rPr>
      <t xml:space="preserve">CRITERIS D'AVALUACIÓ DE LA SA
</t>
    </r>
    <r>
      <rPr>
        <rFont val="Calibri, Arial"/>
        <b/>
        <color theme="1"/>
        <sz val="10.0"/>
      </rPr>
      <t>Com sabem que ho han après?</t>
    </r>
    <r>
      <rPr>
        <rFont val="Calibri, Arial"/>
        <b/>
        <color theme="1"/>
        <sz val="14.0"/>
      </rPr>
      <t xml:space="preserve">
</t>
    </r>
    <r>
      <rPr>
        <rFont val="Calibri, Arial"/>
        <b/>
        <color theme="1"/>
        <sz val="11.0"/>
      </rPr>
      <t>ACCIÓ + SABER + CONTEXT</t>
    </r>
  </si>
  <si>
    <t>Personal, social i d’aprendre a aprendre</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</si>
  <si>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</si>
  <si>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</si>
  <si>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</si>
  <si>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</si>
  <si>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r>
      <rPr>
        <rFont val="Calibri"/>
        <b/>
        <color theme="1"/>
        <sz val="12.0"/>
      </rPr>
      <t>Quines són les principals estratègies metodològiques que es preveuen utilitzar?</t>
    </r>
    <r>
      <rPr>
        <rFont val="Calibri"/>
        <color theme="1"/>
        <sz val="12.0"/>
      </rPr>
      <t xml:space="preserve">
Task-Based Learning (TBL):
The learning situation will focus on real-life tasks, such as preparing students to discuss their future study and career plans using different future tenses. Tasks will involve both written and oral production (e.g., debates, presentations, writing tasks).
Collaborative Learning:
Students will engage in group activities, such as debates, discussions, and peer evaluations. This promotes interaction and teamwork, which helps develop oral communication skills while using future tenses.
Inquiry-Based Learning:
Students will research career options, study programs, and other future opportunities. They will reflect on their findings through writing and oral tasks, encouraging critical thinking and personal reflection.
Self-Regulation and Peer Evaluation:
Students will be encouraged to self-evaluate their progress and provide constructive feedback to their peers, helping them improve their language skills through self-awareness and peer support.
</t>
    </r>
    <r>
      <rPr>
        <rFont val="Calibri"/>
        <b/>
        <color theme="1"/>
        <sz val="12.0"/>
      </rPr>
      <t>Quins tipus d’agrupament realitzarem?</t>
    </r>
    <r>
      <rPr>
        <rFont val="Calibri"/>
        <color theme="1"/>
        <sz val="12.0"/>
      </rPr>
      <t xml:space="preserve">
Small Groups:
For debates and discussions, students will work in small groups (3-4 students) to ensure active participation from each member.
Pairs:
Some activities, such as role-play interviews or peer evaluations, will be done in pairs to allow for more focused interaction and immediate feedback.
Whole-Class Activities:
Presentations and class discussions will involve the entire group, allowing students to share their work with a broader audience and practice public speaking.
</t>
    </r>
    <r>
      <rPr>
        <rFont val="Calibri"/>
        <b/>
        <color theme="1"/>
        <sz val="12.0"/>
      </rPr>
      <t>Quins són els principals materials que necessitarem?</t>
    </r>
    <r>
      <rPr>
        <rFont val="Calibri"/>
        <color theme="1"/>
        <sz val="12.0"/>
      </rPr>
      <t xml:space="preserve">
Chromebooks and Google Classroom:
Students will use Chromebooks for writing tasks, conducting research, and participating in Google Classroom activities. This includes submitting essays, commenting on blog posts, and working on group projects.
Online Articles and Blog Posts:
Blog posts or articles related to future career paths will be used as reading materials for analysis and discussion.
Google Docs/Slides:
For written tasks and presentations, students will use Google Docs for drafting essays and Google Slides for preparing visual components for their oral presentations.
Multimedia Tools:
If needed, students can integrate multimedia elements (images, videos) into their presentations to enhance their multimodal communication skills.</t>
    </r>
  </si>
  <si>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</si>
  <si>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</si>
  <si>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</si>
  <si>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</si>
  <si>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</si>
  <si>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</si>
  <si>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</si>
  <si>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t>Gallery‑walk &amp; verb sort</t>
  </si>
  <si>
    <t>Match quotes to bios; classify reporting verbs; brainstorm prior knowledge.</t>
  </si>
  <si>
    <t>https://create.kahoot.it/details/bfdae08a-4582-43e6-a981-ea9799f48afe</t>
  </si>
  <si>
    <t>KWL &amp; Padlet survey</t>
  </si>
  <si>
    <t>Complete KWL chart on reported speech vs direct; anonymous Padlet habits.</t>
  </si>
  <si>
    <t>Mini‑listening podcast</t>
  </si>
  <si>
    <t>Listen to podcast clip; note examples of direct &amp; reported speech.</t>
  </si>
  <si>
    <r>
      <rPr>
        <rFont val="Calibri"/>
        <b/>
        <color rgb="FF000000"/>
        <sz val="14.0"/>
      </rPr>
      <t xml:space="preserve">Activitats de desenvolupament
</t>
    </r>
    <r>
      <rPr>
        <rFont val="Calibri"/>
        <b/>
        <color rgb="FF000000"/>
        <sz val="10.0"/>
      </rPr>
      <t>Aprenem nous sabers</t>
    </r>
  </si>
  <si>
    <t>Guided discovery worksheet</t>
  </si>
  <si>
    <t>Rewrite celebrity quotes into reported speech (tense/pronoun shifts).</t>
  </si>
  <si>
    <r>
      <rPr>
        <rFont val="Calibri"/>
        <color rgb="FF1155CC"/>
        <sz val="8.0"/>
        <u/>
      </rPr>
      <t>https://www.perfect-english-grammar.com/reported-speech-exercise-1.html</t>
    </r>
  </si>
  <si>
    <t>Grammar card‑spot game</t>
  </si>
  <si>
    <t>Race to spot &amp; correct errors in reported speech cards.</t>
  </si>
  <si>
    <t>3/7/0205</t>
  </si>
  <si>
    <t>Interview planning corner</t>
  </si>
  <si>
    <t>Brainstorm potential interviewees; draft 10 direct‑speech questions.</t>
  </si>
  <si>
    <t>Pronunciation drill &amp; jigsaw reading</t>
  </si>
  <si>
    <t>Analyse model interviews; practise intonation when reporting.</t>
  </si>
  <si>
    <r>
      <rPr>
        <rFont val="Calibri"/>
        <b/>
        <color rgb="FF000000"/>
        <sz val="14.0"/>
      </rPr>
      <t xml:space="preserve">Activitats d’estructuració
</t>
    </r>
    <r>
      <rPr>
        <rFont val="Calibri"/>
        <b/>
        <color rgb="FF000000"/>
        <sz val="10.0"/>
      </rPr>
      <t>Què hem après?</t>
    </r>
  </si>
  <si>
    <t>Rule poster</t>
  </si>
  <si>
    <t>Create colour‑coded poster summarising reporting rules &amp; time shifts.</t>
  </si>
  <si>
    <t>Gap‑fill + Socrative quiz</t>
  </si>
  <si>
    <t>Transform narrative into reported speech; instant feedback via Socrative.</t>
  </si>
  <si>
    <t>Peer‑teaching circle</t>
  </si>
  <si>
    <t>Present tricky rule using example from drafted questions; refine scripts.</t>
  </si>
  <si>
    <r>
      <rPr>
        <rFont val="Calibri"/>
        <b/>
        <color rgb="FF000000"/>
        <sz val="14.0"/>
      </rPr>
      <t xml:space="preserve">Activitats d’aplicació
</t>
    </r>
    <r>
      <rPr>
        <rFont val="Calibri"/>
        <b/>
        <color rgb="FF000000"/>
        <sz val="10.0"/>
      </rPr>
      <t>Apliquem el que hem après</t>
    </r>
  </si>
  <si>
    <t>Conduct/Simulate interview</t>
  </si>
  <si>
    <t>Record interview; transcribe two key answers.</t>
  </si>
  <si>
    <t>Convert to reported speech</t>
  </si>
  <si>
    <t>Write paragraphs reporting answers; storyboard text‑free slide deck.</t>
  </si>
  <si>
    <t>Rehearsal &amp; peer feedback</t>
  </si>
  <si>
    <t>Practise three oral sections; receive feedback on pacing &amp; clarity.</t>
  </si>
  <si>
    <t>Showcase &amp; upload</t>
  </si>
  <si>
    <t>Deliver presentation; upload recording to class platform.</t>
  </si>
  <si>
    <t xml:space="preserve">BREU DESCRIPCIÓ DE COM S’ABORDEN ELS VECTORS EN AQUESTA SITUACIÓ D’APRENENTATGE </t>
  </si>
  <si>
    <t>1- Aprenentatges competencials</t>
  </si>
  <si>
    <t>Learners develop key competences by researching, interviewing and reformulating authentic speech, linking language to real-life communication tasks</t>
  </si>
  <si>
    <t>2- Perspectiva de gènere</t>
  </si>
  <si>
    <t>Interview questions include voices of different genders and challenge stereotypes about careers and life choices</t>
  </si>
  <si>
    <t>3- Universalitat del currículum</t>
  </si>
  <si>
    <t>Flexible grouping, optional recording formats and scaffolded reporting frames ensure participation for all learners, including SEN and EAL students</t>
  </si>
  <si>
    <t>4- Qualitat de l’educació de les llengües</t>
  </si>
  <si>
    <t>Iterative drafting, teacher feedback and pronunciation coaching enhance grammatical accuracy, discourse control and spoken confidence in English</t>
  </si>
  <si>
    <t>5- Ciutadania democràtica i consciència global</t>
  </si>
  <si>
    <t>Sharing diverse life stories promotes empathy, respect and a broader understanding of democratic values and global interconnectedness</t>
  </si>
  <si>
    <t>6- Benestar emocional</t>
  </si>
  <si>
    <t>Reflective peer feedback and storytelling build confidence, celebrate personal growth and support emotional safety in the classroom</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</si>
  <si>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</si>
  <si>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</si>
  <si>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</si>
  <si>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</si>
  <si>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</si>
  <si>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</si>
  <si>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Individualized learning plans.</t>
  </si>
  <si>
    <t>Gifted and Talented Students</t>
  </si>
  <si>
    <t>Enrichment programs or advanced classes.
Opportunities for independent study or research.
Mentoring in areas of interest.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</si>
</sst>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0">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sz val="7.0"/>
      <color theme="1"/>
      <name val="Arial"/>
    </font>
    <font>
      <b/>
      <sz val="6.0"/>
      <color theme="1"/>
      <name val="Arial"/>
    </font>
    <font>
      <b/>
      <sz val="7.0"/>
      <color theme="1"/>
      <name val="Arial"/>
    </font>
    <font>
      <sz val="11.0"/>
      <color rgb="FF4285F4"/>
      <name val="Arial"/>
    </font>
    <font>
      <b/>
      <sz val="18.0"/>
      <color rgb="FF000000"/>
      <name val="Calibri"/>
    </font>
    <font>
      <sz val="14.0"/>
      <color theme="1"/>
      <name val="Calibri"/>
    </font>
    <font>
      <sz val="18.0"/>
      <color rgb="FF4285F4"/>
      <name val="Calibri"/>
    </font>
    <font>
      <sz val="18.0"/>
      <color rgb="FF000000"/>
      <name val="Calibri"/>
    </font>
    <font>
      <i/>
      <sz val="14.0"/>
      <color rgb="FF000000"/>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sz val="10.0"/>
      <color rgb="FF000000"/>
      <name val="Calibri"/>
    </font>
    <font>
      <sz val="11.0"/>
      <color rgb="FF000000"/>
      <name val="Söhne"/>
    </font>
    <font>
      <sz val="13.0"/>
      <color rgb="FF000000"/>
      <name val="Calibri"/>
    </font>
    <font>
      <sz val="11.0"/>
      <color rgb="FF000000"/>
      <name val="Calibri"/>
    </font>
    <font>
      <b/>
      <u/>
      <sz val="14.0"/>
      <color theme="1"/>
      <name val="Calibri"/>
    </font>
    <font>
      <b/>
      <sz val="14.0"/>
      <color theme="1"/>
      <name val="Calibri"/>
    </font>
    <font>
      <b/>
      <sz val="11.0"/>
      <color rgb="FF000000"/>
      <name val="Calibri"/>
    </font>
    <font>
      <sz val="8.0"/>
      <color rgb="FF000000"/>
      <name val="Calibri"/>
    </font>
    <font>
      <u/>
      <sz val="8.0"/>
      <color rgb="FF0000FF"/>
      <name val="Calibri"/>
    </font>
    <font>
      <color theme="1"/>
      <name val="Calibri"/>
    </font>
    <font>
      <sz val="8.0"/>
      <color theme="1"/>
      <name val="Calibri"/>
    </font>
    <font>
      <b/>
      <u/>
      <sz val="12.0"/>
      <color rgb="FF000000"/>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95">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6"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29"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0" numFmtId="0" xfId="0" applyAlignment="1" applyFont="1">
      <alignment vertical="center"/>
    </xf>
    <xf borderId="0" fillId="3" fontId="30" numFmtId="0" xfId="0" applyAlignment="1" applyFont="1">
      <alignment vertical="center"/>
    </xf>
    <xf borderId="15" fillId="23" fontId="30" numFmtId="0" xfId="0" applyAlignment="1" applyBorder="1" applyFont="1">
      <alignment vertical="center"/>
    </xf>
    <xf borderId="0" fillId="3" fontId="31" numFmtId="0" xfId="0" applyAlignment="1" applyFont="1">
      <alignment vertical="center"/>
    </xf>
    <xf borderId="18" fillId="7" fontId="31" numFmtId="0" xfId="0" applyAlignment="1" applyBorder="1" applyFont="1">
      <alignment vertical="center"/>
    </xf>
    <xf borderId="15" fillId="0" fontId="31" numFmtId="0" xfId="0" applyAlignment="1" applyBorder="1" applyFont="1">
      <alignment readingOrder="0" shrinkToFit="0" wrapText="1"/>
    </xf>
    <xf borderId="15" fillId="0" fontId="32" numFmtId="0" xfId="0" applyAlignment="1" applyBorder="1" applyFont="1">
      <alignment horizontal="left"/>
    </xf>
    <xf borderId="15" fillId="0" fontId="33" numFmtId="0" xfId="0" applyAlignment="1" applyBorder="1" applyFont="1">
      <alignment horizontal="left"/>
    </xf>
    <xf borderId="18" fillId="0" fontId="6" numFmtId="0" xfId="0" applyAlignment="1" applyBorder="1" applyFont="1">
      <alignment horizontal="left"/>
    </xf>
    <xf borderId="0" fillId="3" fontId="31" numFmtId="0" xfId="0" applyAlignment="1" applyFont="1">
      <alignment shrinkToFit="0" vertical="center" wrapText="1"/>
    </xf>
    <xf borderId="18" fillId="7" fontId="31" numFmtId="0" xfId="0" applyAlignment="1" applyBorder="1" applyFont="1">
      <alignment shrinkToFit="0" vertical="center" wrapText="1"/>
    </xf>
    <xf borderId="18" fillId="0" fontId="31" numFmtId="0" xfId="0" applyAlignment="1" applyBorder="1" applyFont="1">
      <alignment shrinkToFit="0" vertical="center" wrapText="1"/>
    </xf>
    <xf borderId="0" fillId="3" fontId="34" numFmtId="0" xfId="0" applyAlignment="1" applyFont="1">
      <alignment vertical="center"/>
    </xf>
    <xf borderId="18" fillId="23" fontId="34" numFmtId="0" xfId="0" applyAlignment="1" applyBorder="1" applyFont="1">
      <alignment vertical="center"/>
    </xf>
    <xf borderId="16" fillId="0" fontId="35" numFmtId="0" xfId="0" applyAlignment="1" applyBorder="1" applyFont="1">
      <alignment readingOrder="0" shrinkToFit="0" wrapText="1"/>
    </xf>
    <xf borderId="18" fillId="23" fontId="35" numFmtId="0" xfId="0" applyAlignment="1" applyBorder="1" applyFont="1">
      <alignment vertical="center"/>
    </xf>
    <xf borderId="0" fillId="3" fontId="31" numFmtId="0" xfId="0" applyAlignment="1" applyFont="1">
      <alignment shrinkToFit="0" vertical="top" wrapText="1"/>
    </xf>
    <xf borderId="18" fillId="23" fontId="34" numFmtId="0" xfId="0" applyAlignment="1" applyBorder="1" applyFont="1">
      <alignment horizontal="left" vertical="center"/>
    </xf>
    <xf borderId="0" fillId="3" fontId="1" numFmtId="0" xfId="0" applyFont="1"/>
    <xf borderId="0" fillId="0" fontId="36" numFmtId="0" xfId="0" applyAlignment="1" applyFont="1">
      <alignment horizontal="center"/>
    </xf>
    <xf borderId="0" fillId="0" fontId="31" numFmtId="0" xfId="0" applyAlignment="1" applyFont="1">
      <alignment shrinkToFit="0" wrapText="1"/>
    </xf>
    <xf borderId="0" fillId="0" fontId="37" numFmtId="0" xfId="0" applyAlignment="1" applyFont="1">
      <alignment horizontal="left" shrinkToFit="0" wrapText="1"/>
    </xf>
    <xf borderId="0" fillId="0" fontId="31" numFmtId="0" xfId="0" applyAlignment="1" applyFont="1">
      <alignment horizontal="center" vertical="center"/>
    </xf>
    <xf borderId="15" fillId="22" fontId="38" numFmtId="0" xfId="0" applyAlignment="1" applyBorder="1" applyFont="1">
      <alignment shrinkToFit="0" vertical="center" wrapText="1"/>
    </xf>
    <xf borderId="0" fillId="0" fontId="39" numFmtId="0" xfId="0" applyAlignment="1" applyFont="1">
      <alignment vertical="center"/>
    </xf>
    <xf borderId="18" fillId="15" fontId="40" numFmtId="0" xfId="0" applyAlignment="1" applyBorder="1" applyFont="1">
      <alignment horizontal="center" shrinkToFit="0" vertical="center" wrapText="1"/>
    </xf>
    <xf borderId="0" fillId="0" fontId="36" numFmtId="0" xfId="0" applyAlignment="1" applyFont="1">
      <alignment horizontal="center" vertical="center"/>
    </xf>
    <xf borderId="18" fillId="0" fontId="40" numFmtId="0" xfId="0" applyAlignment="1" applyBorder="1" applyFont="1">
      <alignment shrinkToFit="0" vertical="center" wrapText="1"/>
    </xf>
    <xf borderId="18" fillId="0" fontId="41" numFmtId="0" xfId="0" applyAlignment="1" applyBorder="1" applyFont="1">
      <alignment horizontal="left" shrinkToFit="0" vertical="center" wrapText="1"/>
    </xf>
    <xf borderId="18" fillId="0" fontId="40" numFmtId="0" xfId="0" applyAlignment="1" applyBorder="1" applyFont="1">
      <alignment shrinkToFit="0" wrapText="1"/>
    </xf>
    <xf borderId="18" fillId="0" fontId="37" numFmtId="0" xfId="0" applyAlignment="1" applyBorder="1" applyFont="1">
      <alignment horizontal="left" shrinkToFit="0" wrapText="1"/>
    </xf>
    <xf borderId="15" fillId="15" fontId="42" numFmtId="0" xfId="0" applyAlignment="1" applyBorder="1" applyFont="1">
      <alignment horizontal="left" shrinkToFit="0" vertical="center" wrapText="1"/>
    </xf>
    <xf borderId="18" fillId="15" fontId="40" numFmtId="0" xfId="0" applyAlignment="1" applyBorder="1" applyFont="1">
      <alignment horizontal="left" shrinkToFit="0" vertical="center" wrapText="1"/>
    </xf>
    <xf borderId="18" fillId="0" fontId="36" numFmtId="0" xfId="0" applyAlignment="1" applyBorder="1" applyFont="1">
      <alignment horizontal="left" shrinkToFit="0" vertical="center" wrapText="1"/>
    </xf>
    <xf borderId="0" fillId="0" fontId="1" numFmtId="0" xfId="0" applyAlignment="1" applyFont="1">
      <alignment horizontal="center"/>
    </xf>
    <xf borderId="0" fillId="0" fontId="39" numFmtId="0" xfId="0" applyAlignment="1" applyFont="1">
      <alignment shrinkToFit="0" wrapText="1"/>
    </xf>
    <xf borderId="0" fillId="0" fontId="15" numFmtId="0" xfId="0" applyAlignment="1" applyFont="1">
      <alignment horizontal="left" shrinkToFit="0" wrapText="1"/>
    </xf>
    <xf borderId="0" fillId="3" fontId="43" numFmtId="0" xfId="0" applyAlignment="1" applyFont="1">
      <alignment horizontal="center" shrinkToFit="0" vertical="center" wrapText="1"/>
    </xf>
    <xf borderId="0" fillId="3" fontId="39" numFmtId="0" xfId="0" applyAlignment="1" applyFont="1">
      <alignment shrinkToFit="0" vertical="center" wrapText="1"/>
    </xf>
    <xf borderId="19" fillId="17" fontId="44" numFmtId="0" xfId="0" applyAlignment="1" applyBorder="1" applyFont="1">
      <alignment horizontal="center" shrinkToFit="0" vertical="center" wrapText="1"/>
    </xf>
    <xf borderId="19" fillId="17" fontId="38" numFmtId="0" xfId="0" applyAlignment="1" applyBorder="1" applyFont="1">
      <alignment horizontal="center" shrinkToFit="0" vertical="center" wrapText="1"/>
    </xf>
    <xf borderId="15" fillId="17" fontId="38" numFmtId="0" xfId="0" applyAlignment="1" applyBorder="1" applyFont="1">
      <alignment horizontal="center" shrinkToFit="0" vertical="center" wrapText="1"/>
    </xf>
    <xf borderId="0" fillId="0" fontId="39" numFmtId="0" xfId="0" applyAlignment="1" applyFont="1">
      <alignment shrinkToFit="0" vertical="center" wrapText="1"/>
    </xf>
    <xf borderId="18" fillId="17" fontId="38" numFmtId="0" xfId="0" applyAlignment="1" applyBorder="1" applyFont="1">
      <alignment horizontal="center" shrinkToFit="0" vertical="center" wrapText="1"/>
    </xf>
    <xf borderId="0" fillId="3" fontId="45" numFmtId="0" xfId="0" applyAlignment="1" applyFont="1">
      <alignment horizontal="center" shrinkToFit="0" vertical="center" wrapText="1"/>
    </xf>
    <xf borderId="18" fillId="0" fontId="18" numFmtId="0" xfId="0" applyAlignment="1" applyBorder="1" applyFont="1">
      <alignment horizontal="center" shrinkToFit="0" vertical="center" wrapText="1"/>
    </xf>
    <xf borderId="0" fillId="0" fontId="46" numFmtId="0" xfId="0" applyAlignment="1" applyFont="1">
      <alignment horizontal="left" shrinkToFit="0" wrapText="1"/>
    </xf>
    <xf borderId="18" fillId="0" fontId="47" numFmtId="0" xfId="0" applyAlignment="1" applyBorder="1" applyFont="1">
      <alignment horizontal="left" shrinkToFit="0" vertical="center" wrapText="1"/>
    </xf>
    <xf borderId="18" fillId="0" fontId="48" numFmtId="0" xfId="0" applyAlignment="1" applyBorder="1" applyFont="1">
      <alignment horizontal="left" shrinkToFit="0" vertical="center" wrapText="1"/>
    </xf>
    <xf borderId="18" fillId="0" fontId="14" numFmtId="0" xfId="0" applyAlignment="1" applyBorder="1" applyFont="1">
      <alignment shrinkToFit="0" vertical="center" wrapText="1"/>
    </xf>
    <xf borderId="18" fillId="0" fontId="36" numFmtId="0" xfId="0" applyAlignment="1" applyBorder="1" applyFont="1">
      <alignment shrinkToFit="0" vertical="center" wrapText="1"/>
    </xf>
    <xf borderId="18" fillId="0" fontId="5" numFmtId="0" xfId="0" applyAlignment="1" applyBorder="1" applyFont="1">
      <alignment shrinkToFit="0" vertical="center" wrapText="1"/>
    </xf>
    <xf borderId="0" fillId="3" fontId="37" numFmtId="0" xfId="0" applyAlignment="1" applyFont="1">
      <alignment horizontal="center" shrinkToFit="0" vertical="center" wrapText="1"/>
    </xf>
    <xf borderId="18" fillId="0" fontId="44" numFmtId="0" xfId="0" applyAlignment="1" applyBorder="1" applyFont="1">
      <alignment horizontal="left" shrinkToFit="0" vertical="center" wrapText="1"/>
    </xf>
    <xf borderId="19" fillId="0" fontId="36" numFmtId="0" xfId="0" applyAlignment="1" applyBorder="1" applyFont="1">
      <alignment shrinkToFit="0" vertical="center" wrapText="1"/>
    </xf>
    <xf borderId="0" fillId="3" fontId="5" numFmtId="0" xfId="0" applyAlignment="1" applyFont="1">
      <alignment horizontal="center" shrinkToFit="0" vertical="center" wrapText="1"/>
    </xf>
    <xf borderId="0" fillId="3" fontId="36" numFmtId="0" xfId="0" applyAlignment="1" applyFont="1">
      <alignment horizontal="center" shrinkToFit="0" wrapText="1"/>
    </xf>
    <xf borderId="0" fillId="0" fontId="36" numFmtId="0" xfId="0" applyAlignment="1" applyFont="1">
      <alignment shrinkToFit="0" vertical="center" wrapText="1"/>
    </xf>
    <xf borderId="0" fillId="0" fontId="36" numFmtId="0" xfId="0" applyAlignment="1" applyFont="1">
      <alignment shrinkToFit="0" wrapText="1"/>
    </xf>
    <xf borderId="0" fillId="3" fontId="36" numFmtId="0" xfId="0" applyAlignment="1" applyFont="1">
      <alignment horizontal="center" shrinkToFit="0" vertical="center" wrapText="1"/>
    </xf>
    <xf borderId="15" fillId="17" fontId="1" numFmtId="0" xfId="0" applyAlignment="1" applyBorder="1" applyFont="1">
      <alignment shrinkToFit="0" vertical="center" wrapText="1"/>
    </xf>
    <xf borderId="17" fillId="17" fontId="49" numFmtId="0" xfId="0" applyAlignment="1" applyBorder="1" applyFont="1">
      <alignment shrinkToFit="0" vertical="center" wrapText="1"/>
    </xf>
    <xf borderId="17" fillId="17" fontId="50" numFmtId="0" xfId="0" applyAlignment="1" applyBorder="1" applyFont="1">
      <alignment horizontal="center" shrinkToFit="0" vertical="center" wrapText="1"/>
    </xf>
    <xf borderId="16" fillId="17" fontId="50" numFmtId="0" xfId="0" applyAlignment="1" applyBorder="1" applyFont="1">
      <alignment horizontal="center" shrinkToFit="0" vertical="center" wrapText="1"/>
    </xf>
    <xf borderId="0" fillId="3" fontId="1" numFmtId="0" xfId="0" applyAlignment="1" applyFont="1">
      <alignment horizontal="center" shrinkToFit="0" wrapText="1"/>
    </xf>
    <xf borderId="21" fillId="17" fontId="37" numFmtId="0" xfId="0" applyAlignment="1" applyBorder="1" applyFont="1">
      <alignment shrinkToFit="0" vertical="center" wrapText="1"/>
    </xf>
    <xf borderId="11" fillId="17" fontId="1" numFmtId="0" xfId="0" applyAlignment="1" applyBorder="1" applyFont="1">
      <alignment shrinkToFit="0" vertical="center" wrapText="1"/>
    </xf>
    <xf borderId="11" fillId="0" fontId="1" numFmtId="0" xfId="0" applyAlignment="1" applyBorder="1" applyFont="1">
      <alignment shrinkToFit="0" wrapText="1"/>
    </xf>
    <xf borderId="11" fillId="0" fontId="36" numFmtId="0" xfId="0" applyAlignment="1" applyBorder="1" applyFont="1">
      <alignment shrinkToFit="0" vertical="center" wrapText="1"/>
    </xf>
    <xf borderId="11" fillId="0" fontId="1" numFmtId="0" xfId="0" applyAlignment="1" applyBorder="1" applyFont="1">
      <alignment shrinkToFit="0" vertical="bottom" wrapText="1"/>
    </xf>
    <xf borderId="0" fillId="0" fontId="36" numFmtId="0" xfId="0" applyFont="1"/>
    <xf borderId="0" fillId="0" fontId="5" numFmtId="0" xfId="0" applyAlignment="1" applyFont="1">
      <alignment shrinkToFit="0" wrapText="1"/>
    </xf>
    <xf borderId="0" fillId="0" fontId="36" numFmtId="0" xfId="0" applyAlignment="1" applyFont="1">
      <alignment vertical="center"/>
    </xf>
    <xf borderId="15" fillId="18" fontId="38" numFmtId="0" xfId="0" applyAlignment="1" applyBorder="1" applyFont="1">
      <alignment horizontal="left" shrinkToFit="0" vertical="center" wrapText="1"/>
    </xf>
    <xf borderId="0" fillId="0" fontId="36" numFmtId="0" xfId="0" applyAlignment="1" applyFont="1">
      <alignment horizontal="left" vertical="center"/>
    </xf>
    <xf borderId="15" fillId="0" fontId="48"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3" numFmtId="0" xfId="0" applyAlignment="1" applyFont="1">
      <alignment horizontal="left" shrinkToFit="0" vertical="center" wrapText="1"/>
    </xf>
    <xf borderId="0" fillId="3" fontId="1" numFmtId="0" xfId="0" applyAlignment="1" applyFont="1">
      <alignment vertical="center"/>
    </xf>
    <xf borderId="15" fillId="16" fontId="43" numFmtId="0" xfId="0" applyAlignment="1" applyBorder="1" applyFont="1">
      <alignment horizontal="left" shrinkToFit="0" vertical="center" wrapText="1"/>
    </xf>
    <xf borderId="0" fillId="3" fontId="36" numFmtId="0" xfId="0" applyFont="1"/>
    <xf borderId="18" fillId="16" fontId="51" numFmtId="0" xfId="0" applyAlignment="1" applyBorder="1" applyFont="1">
      <alignment horizontal="left" shrinkToFit="0" vertical="center" wrapText="1"/>
    </xf>
    <xf borderId="0" fillId="0" fontId="36" numFmtId="0" xfId="0" applyAlignment="1" applyFont="1">
      <alignment horizontal="left" shrinkToFit="0" wrapText="1"/>
    </xf>
    <xf borderId="0" fillId="0" fontId="1" numFmtId="0" xfId="0" applyAlignment="1" applyFont="1">
      <alignment horizontal="left" shrinkToFit="0" wrapText="1"/>
    </xf>
    <xf borderId="0" fillId="0" fontId="36" numFmtId="0" xfId="0" applyAlignment="1" applyFont="1">
      <alignment horizontal="left" shrinkToFit="0" vertical="center" wrapText="1"/>
    </xf>
    <xf borderId="15" fillId="26" fontId="38" numFmtId="0" xfId="0" applyAlignment="1" applyBorder="1" applyFont="1">
      <alignment horizontal="left" shrinkToFit="0" vertical="center" wrapText="1"/>
    </xf>
    <xf borderId="0" fillId="0" fontId="1" numFmtId="0" xfId="0" applyAlignment="1" applyFont="1">
      <alignment horizontal="left" shrinkToFit="0" vertical="center" wrapText="1"/>
    </xf>
    <xf borderId="15" fillId="26" fontId="44" numFmtId="0" xfId="0" applyAlignment="1" applyBorder="1" applyFont="1">
      <alignment horizontal="left" shrinkToFit="0" vertical="center" wrapText="1"/>
    </xf>
    <xf borderId="18" fillId="26" fontId="44" numFmtId="0" xfId="0" applyAlignment="1" applyBorder="1" applyFont="1">
      <alignment horizontal="left" shrinkToFit="0" vertical="center" wrapText="1"/>
    </xf>
    <xf borderId="18" fillId="26" fontId="36" numFmtId="0" xfId="0" applyAlignment="1" applyBorder="1" applyFont="1">
      <alignment horizontal="left" shrinkToFit="0" vertical="center" wrapText="1"/>
    </xf>
    <xf borderId="18" fillId="26" fontId="5" numFmtId="0" xfId="0" applyAlignment="1" applyBorder="1" applyFont="1">
      <alignment horizontal="left" shrinkToFit="0" vertical="center" wrapText="1"/>
    </xf>
    <xf borderId="6" fillId="7" fontId="38" numFmtId="0" xfId="0" applyAlignment="1" applyBorder="1" applyFont="1">
      <alignment horizontal="left" shrinkToFit="0" vertical="center" wrapText="1"/>
    </xf>
    <xf borderId="0" fillId="0" fontId="52" numFmtId="0" xfId="0" applyAlignment="1" applyFont="1">
      <alignment horizontal="left" readingOrder="0" vertical="bottom"/>
    </xf>
    <xf borderId="0" fillId="0" fontId="53" numFmtId="0" xfId="0" applyAlignment="1" applyFont="1">
      <alignment horizontal="left" readingOrder="0" vertical="bottom"/>
    </xf>
    <xf borderId="18" fillId="0" fontId="54" numFmtId="14" xfId="0" applyAlignment="1" applyBorder="1" applyFont="1" applyNumberFormat="1">
      <alignment horizontal="center" shrinkToFit="0" wrapText="1"/>
    </xf>
    <xf borderId="22" fillId="0" fontId="3" numFmtId="0" xfId="0" applyBorder="1" applyFont="1"/>
    <xf borderId="23" fillId="0" fontId="3" numFmtId="0" xfId="0" applyBorder="1" applyFont="1"/>
    <xf borderId="0" fillId="0" fontId="55" numFmtId="0" xfId="0" applyAlignment="1" applyFont="1">
      <alignment horizontal="left" readingOrder="0" vertical="bottom"/>
    </xf>
    <xf borderId="18" fillId="0" fontId="1" numFmtId="14" xfId="0" applyBorder="1" applyFont="1" applyNumberFormat="1"/>
    <xf borderId="6" fillId="23" fontId="38" numFmtId="0" xfId="0" applyAlignment="1" applyBorder="1" applyFont="1">
      <alignment horizontal="left" shrinkToFit="0" vertical="center" wrapText="1"/>
    </xf>
    <xf borderId="0" fillId="0" fontId="55" numFmtId="14" xfId="0" applyAlignment="1" applyFont="1" applyNumberFormat="1">
      <alignment horizontal="left" vertical="bottom"/>
    </xf>
    <xf borderId="21" fillId="3" fontId="36" numFmtId="0" xfId="0" applyAlignment="1" applyBorder="1" applyFont="1">
      <alignment horizontal="left" readingOrder="0" shrinkToFit="0" vertical="center" wrapText="1"/>
    </xf>
    <xf borderId="21" fillId="0" fontId="1" numFmtId="14" xfId="0" applyBorder="1" applyFont="1" applyNumberFormat="1"/>
    <xf borderId="6" fillId="28" fontId="38" numFmtId="0" xfId="0" applyAlignment="1" applyBorder="1" applyFill="1" applyFont="1">
      <alignment horizontal="left" shrinkToFit="0" vertical="center" wrapText="1"/>
    </xf>
    <xf borderId="6" fillId="29" fontId="38" numFmtId="0" xfId="0" applyAlignment="1" applyBorder="1" applyFill="1" applyFont="1">
      <alignment horizontal="left" shrinkToFit="0" vertical="center" wrapText="1"/>
    </xf>
    <xf borderId="18" fillId="0" fontId="37" numFmtId="164" xfId="0" applyAlignment="1" applyBorder="1" applyFont="1" applyNumberFormat="1">
      <alignment horizontal="left" shrinkToFit="0" vertical="center" wrapText="1"/>
    </xf>
    <xf borderId="0" fillId="0" fontId="38" numFmtId="0" xfId="0" applyAlignment="1" applyFont="1">
      <alignment horizontal="left" shrinkToFit="0" vertical="center" wrapText="1"/>
    </xf>
    <xf borderId="0" fillId="0" fontId="41" numFmtId="0" xfId="0" applyAlignment="1" applyFont="1">
      <alignment horizontal="left" shrinkToFit="0" vertical="center" wrapText="1"/>
    </xf>
    <xf borderId="0" fillId="0" fontId="37" numFmtId="164" xfId="0" applyAlignment="1" applyFont="1" applyNumberFormat="1">
      <alignment horizontal="left" shrinkToFit="0" vertical="center" wrapText="1"/>
    </xf>
    <xf borderId="15" fillId="26" fontId="56" numFmtId="0" xfId="0" applyAlignment="1" applyBorder="1" applyFont="1">
      <alignment horizontal="left" shrinkToFit="0" vertical="center" wrapText="1"/>
    </xf>
    <xf borderId="18" fillId="26" fontId="41" numFmtId="0" xfId="0" applyAlignment="1" applyBorder="1" applyFont="1">
      <alignment horizontal="left" shrinkToFit="0" vertical="center" wrapText="1"/>
    </xf>
    <xf borderId="10" fillId="0" fontId="36" numFmtId="0" xfId="0" applyAlignment="1" applyBorder="1" applyFont="1">
      <alignment horizontal="left" readingOrder="0" shrinkToFit="0" vertical="center" wrapText="1"/>
    </xf>
    <xf borderId="15" fillId="0" fontId="36" numFmtId="0" xfId="0" applyAlignment="1" applyBorder="1" applyFont="1">
      <alignment readingOrder="0" shrinkToFit="0" wrapText="1"/>
    </xf>
    <xf borderId="15" fillId="0" fontId="36" numFmtId="0" xfId="0" applyAlignment="1" applyBorder="1" applyFont="1">
      <alignment horizontal="left" readingOrder="0" shrinkToFit="0" vertical="center" wrapText="1"/>
    </xf>
    <xf borderId="0" fillId="3" fontId="57" numFmtId="0" xfId="0" applyAlignment="1" applyFont="1">
      <alignment horizontal="left" shrinkToFit="0" vertical="center" wrapText="1"/>
    </xf>
    <xf borderId="0" fillId="3" fontId="39" numFmtId="0" xfId="0" applyAlignment="1" applyFont="1">
      <alignment horizontal="left" vertical="center"/>
    </xf>
    <xf borderId="15" fillId="30" fontId="58" numFmtId="0" xfId="0" applyAlignment="1" applyBorder="1" applyFill="1" applyFont="1">
      <alignment horizontal="left" shrinkToFit="0" vertical="center" wrapText="1"/>
    </xf>
    <xf borderId="0" fillId="0" fontId="39" numFmtId="0" xfId="0" applyAlignment="1" applyFont="1">
      <alignment horizontal="left" vertical="center"/>
    </xf>
    <xf borderId="0" fillId="3" fontId="39" numFmtId="0" xfId="0" applyAlignment="1" applyFont="1">
      <alignment horizontal="left" shrinkToFit="0" vertical="center" wrapText="1"/>
    </xf>
    <xf borderId="15" fillId="0" fontId="39" numFmtId="0" xfId="0" applyAlignment="1" applyBorder="1" applyFont="1">
      <alignment horizontal="left" shrinkToFit="0" vertical="center" wrapText="1"/>
    </xf>
    <xf borderId="15" fillId="30" fontId="59" numFmtId="0" xfId="0" applyAlignment="1" applyBorder="1" applyFont="1">
      <alignment horizontal="left" shrinkToFit="0" vertical="center" wrapText="1"/>
    </xf>
    <xf borderId="0" fillId="3" fontId="38" numFmtId="0" xfId="0" applyAlignment="1" applyFont="1">
      <alignment horizontal="left" shrinkToFit="0" vertical="center" wrapText="1"/>
    </xf>
    <xf borderId="18" fillId="30" fontId="38" numFmtId="0" xfId="0" applyAlignment="1" applyBorder="1" applyFont="1">
      <alignment horizontal="left" shrinkToFit="0" vertical="center" wrapText="1"/>
    </xf>
    <xf borderId="18" fillId="31" fontId="39" numFmtId="0" xfId="0" applyAlignment="1" applyBorder="1" applyFill="1" applyFont="1">
      <alignment horizontal="left" shrinkToFit="0" vertical="center" wrapText="1"/>
    </xf>
    <xf borderId="18" fillId="0" fontId="39" numFmtId="0" xfId="0" applyAlignment="1" applyBorder="1" applyFont="1">
      <alignment horizontal="left" shrinkToFit="0" vertical="center" wrapText="1"/>
    </xf>
  </cellXfs>
  <cellStyles count="1">
    <cellStyle xfId="0" name="Normal" builtinId="0"/>
  </cellStyles>
  <dxfs count="5">
    <dxf>
      <font>
        <color rgb="FF000000"/>
      </font>
      <fill>
        <patternFill patternType="solid">
          <fgColor rgb="FFE2F0FF"/>
          <bgColor rgb="FFE2F0FF"/>
        </patternFill>
      </fill>
      <border/>
    </dxf>
    <dxf>
      <font/>
      <fill>
        <patternFill patternType="solid">
          <fgColor rgb="FFE2F0FF"/>
          <bgColor rgb="FFE2F0FF"/>
        </patternFill>
      </fill>
      <border/>
    </dxf>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074413" y="3403763"/>
              <a:ext cx="2543175" cy="752475"/>
              <a:chOff x="4074413" y="3403763"/>
              <a:chExt cx="2543175" cy="752475"/>
            </a:xfrm>
          </xdr:grpSpPr>
          <xdr:sp>
            <xdr:nvSpPr>
              <xdr:cNvPr id="6" name="Shape 6"/>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ibuix"/>
              <xdr:cNvGrpSpPr/>
            </xdr:nvGrpSpPr>
            <xdr:grpSpPr>
              <a:xfrm>
                <a:off x="4074413" y="3403763"/>
                <a:ext cx="2543175" cy="752475"/>
                <a:chOff x="2160000" y="720000"/>
                <a:chExt cx="2522700" cy="731400"/>
              </a:xfrm>
            </xdr:grpSpPr>
            <xdr:sp>
              <xdr:nvSpPr>
                <xdr:cNvPr id="8" name="Shape 8"/>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10" name="Shape 10"/>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1" name="Shape 11"/>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079175" y="3413288"/>
              <a:ext cx="2533650" cy="733425"/>
              <a:chOff x="4079175" y="3413288"/>
              <a:chExt cx="2533650" cy="733425"/>
            </a:xfrm>
          </xdr:grpSpPr>
          <xdr:sp>
            <xdr:nvSpPr>
              <xdr:cNvPr id="13" name="Shape 13"/>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title="Dibuix"/>
              <xdr:cNvGrpSpPr/>
            </xdr:nvGrpSpPr>
            <xdr:grpSpPr>
              <a:xfrm>
                <a:off x="4079175" y="3413288"/>
                <a:ext cx="2533650" cy="733425"/>
                <a:chOff x="2162175" y="728675"/>
                <a:chExt cx="2517900" cy="711300"/>
              </a:xfrm>
            </xdr:grpSpPr>
            <xdr:sp>
              <xdr:nvSpPr>
                <xdr:cNvPr id="15" name="Shape 15"/>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6" name="Shape 16"/>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7" name="Shape 17"/>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8" name="Shape 18"/>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4079175" y="3413288"/>
              <a:ext cx="2533650" cy="733425"/>
              <a:chOff x="4079175" y="3413288"/>
              <a:chExt cx="2533650" cy="733425"/>
            </a:xfrm>
          </xdr:grpSpPr>
          <xdr:sp>
            <xdr:nvSpPr>
              <xdr:cNvPr id="20" name="Shape 20"/>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title="Dibuix"/>
              <xdr:cNvGrpSpPr/>
            </xdr:nvGrpSpPr>
            <xdr:grpSpPr>
              <a:xfrm>
                <a:off x="4079175" y="3413288"/>
                <a:ext cx="2533650" cy="733425"/>
                <a:chOff x="2167650" y="720000"/>
                <a:chExt cx="2512500" cy="716100"/>
              </a:xfrm>
            </xdr:grpSpPr>
            <xdr:sp>
              <xdr:nvSpPr>
                <xdr:cNvPr id="22" name="Shape 22"/>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3" name="Shape 23"/>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24" name="Shape 24"/>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5" name="Shape 25"/>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4074413" y="3408525"/>
              <a:ext cx="2543175" cy="742950"/>
              <a:chOff x="4074413" y="3408525"/>
              <a:chExt cx="2543175" cy="742950"/>
            </a:xfrm>
          </xdr:grpSpPr>
          <xdr:sp>
            <xdr:nvSpPr>
              <xdr:cNvPr id="27" name="Shape 27"/>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title="Dibuix"/>
              <xdr:cNvGrpSpPr/>
            </xdr:nvGrpSpPr>
            <xdr:grpSpPr>
              <a:xfrm>
                <a:off x="4074413" y="3408525"/>
                <a:ext cx="2543175" cy="742950"/>
                <a:chOff x="2160000" y="720000"/>
                <a:chExt cx="2520000" cy="720000"/>
              </a:xfrm>
            </xdr:grpSpPr>
            <xdr:sp>
              <xdr:nvSpPr>
                <xdr:cNvPr id="29" name="Shape 29"/>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0" name="Shape 30"/>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31" name="Shape 31"/>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32" name="Shape 32"/>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 name="Shape 33"/>
            <xdr:cNvGrpSpPr/>
          </xdr:nvGrpSpPr>
          <xdr:grpSpPr>
            <a:xfrm>
              <a:off x="4074413" y="3408525"/>
              <a:ext cx="2543175" cy="742950"/>
              <a:chOff x="4074413" y="3408525"/>
              <a:chExt cx="2543175" cy="742950"/>
            </a:xfrm>
          </xdr:grpSpPr>
          <xdr:sp>
            <xdr:nvSpPr>
              <xdr:cNvPr id="34" name="Shape 3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 name="Shape 35" title="Dibuix"/>
              <xdr:cNvGrpSpPr/>
            </xdr:nvGrpSpPr>
            <xdr:grpSpPr>
              <a:xfrm>
                <a:off x="4074413" y="3408525"/>
                <a:ext cx="254317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38" name="Shape 3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39" name="Shape 3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079175" y="3413288"/>
              <a:ext cx="2533650" cy="733425"/>
              <a:chOff x="4079175" y="3413288"/>
              <a:chExt cx="2533650" cy="733425"/>
            </a:xfrm>
          </xdr:grpSpPr>
          <xdr:sp>
            <xdr:nvSpPr>
              <xdr:cNvPr id="41" name="Shape 41"/>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title="Dibuix"/>
              <xdr:cNvGrpSpPr/>
            </xdr:nvGrpSpPr>
            <xdr:grpSpPr>
              <a:xfrm>
                <a:off x="4079175" y="3413288"/>
                <a:ext cx="2533650" cy="733425"/>
                <a:chOff x="2162175" y="728675"/>
                <a:chExt cx="2517900" cy="711300"/>
              </a:xfrm>
            </xdr:grpSpPr>
            <xdr:sp>
              <xdr:nvSpPr>
                <xdr:cNvPr id="43" name="Shape 43"/>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45" name="Shape 45"/>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46" name="Shape 46"/>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083938" y="3408525"/>
              <a:ext cx="2524125" cy="742950"/>
              <a:chOff x="4083938" y="3408525"/>
              <a:chExt cx="2524125" cy="742950"/>
            </a:xfrm>
          </xdr:grpSpPr>
          <xdr:sp>
            <xdr:nvSpPr>
              <xdr:cNvPr id="48" name="Shape 48"/>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title="Dibuix"/>
              <xdr:cNvGrpSpPr/>
            </xdr:nvGrpSpPr>
            <xdr:grpSpPr>
              <a:xfrm>
                <a:off x="4083938" y="3408525"/>
                <a:ext cx="2524125" cy="742950"/>
                <a:chOff x="2160000" y="720000"/>
                <a:chExt cx="2520000" cy="720000"/>
              </a:xfrm>
            </xdr:grpSpPr>
            <xdr:sp>
              <xdr:nvSpPr>
                <xdr:cNvPr id="50" name="Shape 50"/>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1" name="Shape 51"/>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52" name="Shape 52"/>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3</xdr:col>
      <xdr:colOff>342900</xdr:colOff>
      <xdr:row>0</xdr:row>
      <xdr:rowOff>0</xdr:rowOff>
    </xdr:from>
    <xdr:ext cx="3629025" cy="3629025"/>
    <xdr:pic>
      <xdr:nvPicPr>
        <xdr:cNvPr id="0" name="image2.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1.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create.kahoot.it/details/bfdae08a-4582-43e6-a981-ea9799f48afe" TargetMode="External"/><Relationship Id="rId2" Type="http://schemas.openxmlformats.org/officeDocument/2006/relationships/hyperlink" Target="https://www.perfect-english-grammar.com/reported-speech-exercise-1.html" TargetMode="External"/><Relationship Id="rId3" Type="http://schemas.openxmlformats.org/officeDocument/2006/relationships/hyperlink" Target="https://projectes.xtec.cat/nou-curriculum/educacio-basica/"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IFERROR(__xludf.DUMMYFUNCTION("FILTER(B5:E16,B5:E5=INICI!C5)"),"4t ESO")</f>
        <v>4t ESO</v>
      </c>
      <c r="G26" s="63" t="str">
        <f>IFERROR(__xludf.DUMMYFUNCTION("FILTER(G5:J19,G5:J5=INICI!C5)"),"4t ESO")</f>
        <v>4t ESO</v>
      </c>
    </row>
    <row r="27" ht="15.75" customHeight="1">
      <c r="B27" s="63" t="str">
        <f>IFERROR(__xludf.DUMMYFUNCTION("""COMPUTED_VALUE"""),"Llengua Catalana i Literatura")</f>
        <v>Llengua Catalana i Literatura</v>
      </c>
      <c r="G27" s="63" t="str">
        <f>IFERROR(__xludf.DUMMYFUNCTION("""COMPUTED_VALUE"""),"Emprenedoria")</f>
        <v>Emprenedoria</v>
      </c>
    </row>
    <row r="28" ht="15.75" customHeight="1">
      <c r="B28" s="63" t="str">
        <f>IFERROR(__xludf.DUMMYFUNCTION("""COMPUTED_VALUE"""),"Llengua Castellana i Literatura")</f>
        <v>Llengua Castellana i Literatura</v>
      </c>
      <c r="G28" s="63" t="str">
        <f>IFERROR(__xludf.DUMMYFUNCTION("""COMPUTED_VALUE"""),"Biologia i Geologia")</f>
        <v>Biologia i Geologia</v>
      </c>
    </row>
    <row r="29" ht="15.75" customHeight="1">
      <c r="B29" s="63" t="str">
        <f>IFERROR(__xludf.DUMMYFUNCTION("""COMPUTED_VALUE"""),"Llengua Estrangera")</f>
        <v>Llengua Estrangera</v>
      </c>
      <c r="G29" s="63" t="str">
        <f>IFERROR(__xludf.DUMMYFUNCTION("""COMPUTED_VALUE"""),"Cultura Clàssica")</f>
        <v>Cultura Clàssica</v>
      </c>
    </row>
    <row r="30" ht="15.75" customHeight="1">
      <c r="B30" s="63" t="str">
        <f>IFERROR(__xludf.DUMMYFUNCTION("""COMPUTED_VALUE"""),"Matemàtiques")</f>
        <v>Matemàtiques</v>
      </c>
      <c r="G30" s="63" t="str">
        <f>IFERROR(__xludf.DUMMYFUNCTION("""COMPUTED_VALUE"""),"Digitalització")</f>
        <v>Digitalització</v>
      </c>
    </row>
    <row r="31" ht="15.75" customHeight="1">
      <c r="B31" s="63" t="str">
        <f>IFERROR(__xludf.DUMMYFUNCTION("""COMPUTED_VALUE"""),"Ciències Socials: Geografia i Història")</f>
        <v>Ciències Socials: Geografia i Història</v>
      </c>
      <c r="G31" s="63" t="str">
        <f>IFERROR(__xludf.DUMMYFUNCTION("""COMPUTED_VALUE"""),"Segona Llengua Estrangera")</f>
        <v>Segona Llengua Estrangera</v>
      </c>
    </row>
    <row r="32" ht="15.75" customHeight="1">
      <c r="B32" s="63" t="str">
        <f>IFERROR(__xludf.DUMMYFUNCTION("""COMPUTED_VALUE"""),"Educació en Valors Cívics i Ètics")</f>
        <v>Educació en Valors Cívics i Ètics</v>
      </c>
      <c r="G32" s="63" t="str">
        <f>IFERROR(__xludf.DUMMYFUNCTION("""COMPUTED_VALUE"""),"Física i Química")</f>
        <v>Física i Química</v>
      </c>
    </row>
    <row r="33" ht="15.75" customHeight="1">
      <c r="B33" s="63" t="str">
        <f>IFERROR(__xludf.DUMMYFUNCTION("""COMPUTED_VALUE"""),"Educació Física")</f>
        <v>Educació Física</v>
      </c>
      <c r="G33" s="63" t="str">
        <f>IFERROR(__xludf.DUMMYFUNCTION("""COMPUTED_VALUE"""),"Filosofia")</f>
        <v>Filosofia</v>
      </c>
    </row>
    <row r="34" ht="15.75" customHeight="1">
      <c r="B34" s="63"/>
      <c r="G34" s="63" t="str">
        <f>IFERROR(__xludf.DUMMYFUNCTION("""COMPUTED_VALUE"""),"Arts Escèniques i Dansa")</f>
        <v>Arts Escèniques i Dansa</v>
      </c>
    </row>
    <row r="35" ht="15.75" customHeight="1">
      <c r="B35" s="63"/>
      <c r="G35" s="63" t="str">
        <f>IFERROR(__xludf.DUMMYFUNCTION("""COMPUTED_VALUE"""),"Formació i Orientació Personal i Professional")</f>
        <v>Formació i Orientació Personal i Professional</v>
      </c>
    </row>
    <row r="36" ht="15.75" customHeight="1">
      <c r="B36" s="63"/>
      <c r="G36" s="63" t="str">
        <f>IFERROR(__xludf.DUMMYFUNCTION("""COMPUTED_VALUE"""),"Llatí: Llengua i Cultura")</f>
        <v>Llatí: Llengua i Cultura</v>
      </c>
    </row>
    <row r="37" ht="15.75" customHeight="1">
      <c r="B37" s="63"/>
      <c r="G37" s="63" t="str">
        <f>IFERROR(__xludf.DUMMYFUNCTION("""COMPUTED_VALUE"""),"Música")</f>
        <v>Música</v>
      </c>
    </row>
    <row r="38" ht="15.75" customHeight="1">
      <c r="G38" s="63" t="str">
        <f>IFERROR(__xludf.DUMMYFUNCTION("""COMPUTED_VALUE"""),"Tecnologia")</f>
        <v>Tecnologia</v>
      </c>
    </row>
    <row r="39" ht="15.75" customHeight="1">
      <c r="G39" s="63" t="str">
        <f>IFERROR(__xludf.DUMMYFUNCTION("""COMPUTED_VALUE"""),"Expressió Artística")</f>
        <v>Expressió Artística</v>
      </c>
    </row>
    <row r="40" ht="15.75" customHeight="1">
      <c r="G40" s="63" t="str">
        <f>IFERROR(__xludf.DUMMYFUNCTION("""COMPUTED_VALUE"""),"Economia Bàsica")</f>
        <v>Economia Bàsica</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IFERROR(__xludf.DUMMYFUNCTION("filter(B5:C8,B5:C5=INICI!C4)"),"Segon cicle")</f>
        <v>Segon cicle</v>
      </c>
      <c r="G5" s="68"/>
    </row>
    <row r="6">
      <c r="B6" s="63" t="s">
        <v>194</v>
      </c>
      <c r="C6" s="63" t="s">
        <v>197</v>
      </c>
      <c r="E6" s="67"/>
      <c r="F6" s="63" t="str">
        <f>IFERROR(__xludf.DUMMYFUNCTION("""COMPUTED_VALUE"""),"4t ESO")</f>
        <v>4t ESO</v>
      </c>
      <c r="G6" s="68"/>
    </row>
    <row r="7">
      <c r="B7" s="63" t="s">
        <v>195</v>
      </c>
      <c r="E7" s="67"/>
      <c r="F7" s="63"/>
      <c r="G7" s="68"/>
    </row>
    <row r="8">
      <c r="B8" s="63" t="s">
        <v>196</v>
      </c>
      <c r="E8" s="69"/>
      <c r="F8" s="70"/>
      <c r="G8" s="71"/>
    </row>
    <row r="14">
      <c r="F14" s="64" t="s">
        <v>204</v>
      </c>
      <c r="G14" s="65"/>
      <c r="H14" s="66"/>
    </row>
    <row r="15">
      <c r="F15" s="67"/>
      <c r="H15" s="68"/>
    </row>
    <row r="16">
      <c r="B16" s="63" t="s">
        <v>194</v>
      </c>
      <c r="C16" s="63" t="s">
        <v>195</v>
      </c>
      <c r="D16" s="63" t="s">
        <v>196</v>
      </c>
      <c r="E16" s="63" t="s">
        <v>197</v>
      </c>
      <c r="F16" s="67"/>
      <c r="G16" s="63" t="str">
        <f>IFERROR(__xludf.DUMMYFUNCTION("filter(B16:E17,B16:E16=INICI!C5)"),"4t ESO")</f>
        <v>4t ESO</v>
      </c>
      <c r="H16" s="68"/>
    </row>
    <row r="17">
      <c r="B17" s="63" t="s">
        <v>205</v>
      </c>
      <c r="C17" s="63" t="s">
        <v>205</v>
      </c>
      <c r="D17" s="63" t="s">
        <v>205</v>
      </c>
      <c r="E17" s="63" t="s">
        <v>206</v>
      </c>
      <c r="F17" s="67"/>
      <c r="G17" s="63" t="str">
        <f>IFERROR(__xludf.DUMMYFUNCTION("""COMPUTED_VALUE"""),"4t")</f>
        <v>4t</v>
      </c>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OCULT'!C3:AY3='COMPETÈNCIES'!B4)"),"Llengua Estrangera")</f>
        <v>Llengua Estrangera</v>
      </c>
    </row>
    <row r="3">
      <c r="B3" s="72"/>
      <c r="C3"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 r="B4" s="72"/>
      <c r="C4"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 r="B5" s="72"/>
      <c r="C5"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 r="B6" s="72"/>
      <c r="C6"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 r="B7" s="72"/>
      <c r="C7"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 r="B8" s="72"/>
      <c r="C8"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 r="B9" s="72"/>
      <c r="C9"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 r="B10" s="72"/>
      <c r="C10"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 r="B11" s="72"/>
      <c r="C11"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 r="B12" s="72"/>
      <c r="C12"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 r="B13" s="74">
        <v>2.0</v>
      </c>
      <c r="C13" s="75" t="str">
        <f>IFERROR(__xludf.DUMMYFUNCTION("filter('COMPETÈNCIES OCULT'!C3:AY13,'COMPETÈNCIES OCULT'!C3:AY3='COMPETÈNCIES'!B5)"),"Llengua Estrangera")</f>
        <v>Llengua Estrangera</v>
      </c>
    </row>
    <row r="14">
      <c r="B14" s="72"/>
      <c r="C14"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 r="B15" s="72"/>
      <c r="C15"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 r="B16" s="72"/>
      <c r="C16"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 r="B17" s="76"/>
      <c r="C17" s="77"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 r="B18" s="72"/>
      <c r="C18"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 r="B19" s="72"/>
      <c r="C19"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 r="B20" s="72"/>
      <c r="C20"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ht="15.75" customHeight="1">
      <c r="B21" s="72"/>
      <c r="C21"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ht="15.75" customHeight="1">
      <c r="B22" s="72"/>
      <c r="C22"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ht="15.75" customHeight="1">
      <c r="B23" s="72"/>
      <c r="C23"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ht="15.75" customHeight="1">
      <c r="B24" s="74">
        <v>3.0</v>
      </c>
      <c r="C24" s="75" t="str">
        <f>IFERROR(__xludf.DUMMYFUNCTION("filter('COMPETÈNCIES OCULT'!C3:AY13,'COMPETÈNCIES OCULT'!C3:AY3='COMPETÈNCIES'!B6)"),"")</f>
        <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OCULT'!C3:AY3='COMPETÈNCIES'!B7)"),"")</f>
        <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OCULT'!C3:AY3='COMPETÈNCIES'!B8)"),"")</f>
        <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OCULT'!C3:AY3='COMPETÈNCIES'!B9)"),"")</f>
        <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OCULT'!C3:AY3='COMPETÈNCIES'!B10)"),"")</f>
        <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OCULT'!C3:AY3='COMPETÈNCIES'!B11)"),"")</f>
        <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OCULT'!C3:AY3='COMPETÈNCIES'!B12)"),"")</f>
        <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OCULT'!C3:AY3='COMPETÈNCIES'!B13)"),"")</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OCULT'!B6:RG6='OBJECTIUS-CRITERIS'!C4,'CRITERIS OCULT'!B7:RG7=INICI!C5)"),"Llengua estrangera")</f>
        <v>Llengua estrangera</v>
      </c>
      <c r="D2" s="63" t="str">
        <f>IFERROR(__xludf.DUMMYFUNCTION("""COMPUTED_VALUE"""),"Segona Llengua Estrangera")</f>
        <v>Segona Llengua Estrangera</v>
      </c>
      <c r="E2" s="122" t="str">
        <f>IFERROR(__xludf.DUMMYFUNCTION("filter('TRANSVERSALS OCULT'!B2:BT8,'TRANSVERSALS OCULT'!B3:BT3='OBJECTIUS-CRITERIS'!C16,'TRANSVERSALS OCULT'!B4:BT4=INICI!C5)"),"Competència Ciutadana")</f>
        <v>Competència Ciutadana</v>
      </c>
      <c r="F2" s="123"/>
      <c r="G2" s="123"/>
      <c r="H2" s="123"/>
      <c r="I2" s="123"/>
      <c r="J2" s="123"/>
      <c r="K2" s="123"/>
      <c r="L2" s="123"/>
      <c r="M2" s="123"/>
      <c r="N2" s="123"/>
      <c r="O2" s="123"/>
      <c r="P2" s="123"/>
      <c r="Q2" s="123"/>
      <c r="R2" s="123"/>
    </row>
    <row r="3">
      <c r="B3" s="72"/>
      <c r="C3"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3" s="6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3" s="63" t="str">
        <f>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 r="B4" s="72"/>
      <c r="C4" s="73" t="str">
        <f>IFERROR(__xludf.DUMMYFUNCTION("""COMPUTED_VALUE"""),"4t ESO")</f>
        <v>4t ESO</v>
      </c>
      <c r="D4" s="63" t="str">
        <f>IFERROR(__xludf.DUMMYFUNCTION("""COMPUTED_VALUE"""),"4t ESO")</f>
        <v>4t ESO</v>
      </c>
      <c r="E4" s="63" t="str">
        <f>IFERROR(__xludf.DUMMYFUNCTION("""COMPUTED_VALUE"""),"4t ESO")</f>
        <v>4t ESO</v>
      </c>
    </row>
    <row r="5">
      <c r="B5" s="72"/>
      <c r="C5" s="73" t="str">
        <f>IFERROR(__xludf.DUMMYFUNCTION("""COMPUTED_VALUE"""),"5.1 Redactar i difondre textos d’extensió mitjana amb acceptable claredat, coherència, cohesió, correcció i adequació a la situació comunicativa proposada, a la tipologia textual i a les eines analògiques i digitals utilitzades, sobre assumptes quotidians"&amp;", de rellevància personal o d’interès públic pròxims a la seva experiència, respectant la propietat intel·lectual i evitant el plagi.")</f>
        <v>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D5" s="63" t="str">
        <f>IFERROR(__xludf.DUMMYFUNCTION("""COMPUTED_VALUE"""),"5.1 Organitzar i redactar textos breus i comprensibles, amb claredat, coherència, cohesió i adequació a la situació comunicativa proposada, seguint pautes establertes, a través d’eines analògiques i digitals, sobre assumptes quotidians i freqüents, de rel"&amp;"levància per a l’alumnat i pròxims a la seva experiència.")</f>
        <v>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E5" s="63" t="str">
        <f>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 r="B6" s="72"/>
      <c r="C6" s="73" t="str">
        <f>IFERROR(__xludf.DUMMYFUNCTION("""COMPUTED_VALUE"""),"5.2 Aplicar coneixements i estratègies per a planificar, produir, revisar i cooperar en l’elaboració de textos coherents, cohesionats i adequats a les intencions comunicatives, les característiques contextuals, els aspectes socioculturals i la tipologia t"&amp;"extual, usant els recursos físics o digitals més adequats en funció de la tasca i de les necessitats de l’audiència o del lector potencial a qui s’adreça el text.")</f>
        <v>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D6" s="63" t="str">
        <f>IFERROR(__xludf.DUMMYFUNCTION("""COMPUTED_VALUE"""),"5.2 Aplicar de forma guiada coneixements i estratègies bàsiques per planificar, produir i revisar textos comprensibles, coherents i adequats a les intencions comunicatives, les característiques contextuals i la tipologia textual, usant, amb acompanyament,"&amp;" els recursos físics o digitals més adequats en funció de la tasca i les necessitats de cada moment, tenint en compte la persona a qui va dirigit el text.")</f>
        <v>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v>
      </c>
      <c r="E6" s="63" t="str">
        <f>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 r="B7" s="72"/>
      <c r="C7" s="73"/>
      <c r="D7" s="63"/>
      <c r="E7" s="63" t="str">
        <f>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OCULT'!B6:RG6='OBJECTIUS-CRITERIS'!C5,'CRITERIS OCULT'!B7:RG7=INICI!C5)"),"Llengua estrangera")</f>
        <v>Llengua estrangera</v>
      </c>
      <c r="D13" s="63" t="str">
        <f>IFERROR(__xludf.DUMMYFUNCTION("""COMPUTED_VALUE"""),"Segona Llengua Estrangera")</f>
        <v>Segona Llengua Estrangera</v>
      </c>
      <c r="E13" s="122" t="str">
        <f>IFERROR(__xludf.DUMMYFUNCTION("filter('TRANSVERSALS OCULT'!B2:BT8,'TRANSVERSALS OCULT'!B3:BT3='OBJECTIUS-CRITERIS'!C17,'TRANSVERSALS OCULT'!B4:BT4=INICI!C5)"),"Competència Emprenedora")</f>
        <v>Competència Emprenedora</v>
      </c>
      <c r="F13" s="124"/>
      <c r="G13" s="124"/>
      <c r="H13" s="124"/>
      <c r="I13" s="124"/>
      <c r="J13" s="124"/>
      <c r="K13" s="124"/>
      <c r="L13" s="123"/>
      <c r="M13" s="123"/>
      <c r="N13" s="123"/>
      <c r="O13" s="123"/>
      <c r="P13" s="123"/>
      <c r="Q13" s="123"/>
      <c r="R13" s="123"/>
    </row>
    <row r="14">
      <c r="B14" s="72"/>
      <c r="C14"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14" s="6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14" s="63" t="str">
        <f>IFERROR(__xludf.DUMMYFUNCTION("""COMPUTED_VALUE"""),"CE2. Avaluar les fortaleses i debilitats pròpies fent ús d’estratègies d’autoconeixement i autoeficàcia, comprendre els elements fonamentals de l’economia i les finances i aplicar coneixements econòmics i financers a activitats i situacions concretes, uti"&amp;"litzant habilitats que afavoreixin el treball col·laboratiu i en equip, per reunir i optimitzar els recursos necessaris que portin a l’acció una experiència emprenedora de valor.")</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row>
    <row r="15">
      <c r="B15" s="72"/>
      <c r="C15" s="73" t="str">
        <f>IFERROR(__xludf.DUMMYFUNCTION("""COMPUTED_VALUE"""),"4t ESO")</f>
        <v>4t ESO</v>
      </c>
      <c r="D15" s="63" t="str">
        <f>IFERROR(__xludf.DUMMYFUNCTION("""COMPUTED_VALUE"""),"4t ESO")</f>
        <v>4t ESO</v>
      </c>
      <c r="E15" s="63" t="str">
        <f>IFERROR(__xludf.DUMMYFUNCTION("""COMPUTED_VALUE"""),"4t ESO")</f>
        <v>4t ESO</v>
      </c>
    </row>
    <row r="16">
      <c r="B16" s="72"/>
      <c r="C16" s="73" t="str">
        <f>IFERROR(__xludf.DUMMYFUNCTION("""COMPUTED_VALUE"""),"3.1 Expressar oralment textos senzills, estructurats, comprensibles, coherents i adequats a la situació comunicativa sobre temes quotidians, de rellevància personal o d’interès públic proper a la seva experiència, per tal de descriure, narrar, argumentar "&amp;"i informar, en diferents suports, utilitzant recursos verbals i no verbals, així com estratègies de planificació, control, compensació i cooperació.")</f>
        <v>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D16" s="63" t="str">
        <f>IFERROR(__xludf.DUMMYFUNCTION("""COMPUTED_VALUE"""),"3.1 Expressar oralment textos breus, senzills, estructurats, comprensibles i adequats a la situació comunicativa sobre temes quotidians i freqüents, de rellevància per a l’alumnat, per tal de descriure, narrar i informar sobre temes concrets, en diferents"&amp;" suports, utilitzant de forma guiada recursos verbals i no verbals, així com estratègies de planificació i control de la producció.")</f>
        <v>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E16" s="63" t="str">
        <f>IFERROR(__xludf.DUMMYFUNCTION("""COMPUTED_VALUE"""),"2.1. Justificar les pròpies fortaleses i habilitats que exigeix el repte, per tal de conèixer-se millor i saber-ho identificar amb les característiques d’una persona emprenedora.")</f>
        <v>2.1. Justificar les pròpies fortaleses i habilitats que exigeix el repte, per tal de conèixer-se millor i saber-ho identificar amb les característiques d’una persona emprenedora.</v>
      </c>
    </row>
    <row r="17">
      <c r="B17" s="76"/>
      <c r="C17" s="77" t="str">
        <f>IFERROR(__xludf.DUMMYFUNCTION("""COMPUTED_VALUE"""),"3.2 Aplicar coneixements i estratègies per planificar, produir, revisar i cooperar en l’elaboració de textos coherents, cohesionats i adequats a les intencions comunicatives, les característiques contextuals, els aspectes socioculturals i la tipologia tex"&amp;"tual, usant els recursos físics o digitals més adequats en funció de la tasca i de les necessitats de l’audiència o el destinatari del text.")</f>
        <v>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D17" s="63" t="str">
        <f>IFERROR(__xludf.DUMMYFUNCTION("""COMPUTED_VALUE"""),"3.2 Aplicar de forma guiada coneixements i estratègies bàsiques per planificar, produir i revisar textos comprensibles, coherents i adequats a les intencions comunicatives, les característiques contextuals i la tipologia textual, amb ajuda dels recursos f"&amp;"ísics o digitals més adequats en funció de la tasca i les necessitats de cada moment, tenint en compte el destinatari del text.")</f>
        <v>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E17" s="63" t="str">
        <f>IFERROR(__xludf.DUMMYFUNCTION("""COMPUTED_VALUE"""),"2.2. Investigar, en un entorn proper i a escala global, solucions a idees similars, per tal de detectar recursos que puguin ser útils per desenvolupar la idea pròpia.")</f>
        <v>2.2. Investigar, en un entorn proper i a escala global, solucions a idees similars, per tal de detectar recursos que puguin ser útils per desenvolupar la idea pròpia.</v>
      </c>
    </row>
    <row r="18">
      <c r="B18" s="72"/>
      <c r="C18" s="73" t="str">
        <f>IFERROR(__xludf.DUMMYFUNCTION("""COMPUTED_VALUE"""),"3.3 Participar i col·laborar activament, a través de diversos suports, en situacions interactives sobre temes quotidians, de rellevància personal o d’interès públic propers a la seva experiència, mostrant iniciativa, empatia i respecte per la cortesia lin"&amp;"güística i l’etiqueta digital, així com per les diferents necessitats, idees, inquietuds, iniciatives i motivacions dels interlocutors.")</f>
        <v>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D18" s="63" t="str">
        <f>IFERROR(__xludf.DUMMYFUNCTION("""COMPUTED_VALUE"""),"3.3 Participar en situacions interactives breus i senzilles sobre temes quotidians, de rellevància personal i pròxims a la seva experiència, a través de diversos suports i estratègies bàsiques guiades, i mostrant empatia i respecte per la cortesia lingüís"&amp;"tica i l’etiqueta digital, així com per les diferents necessitats, idees, inquietuds, iniciatives i motivacions dels interlocutors.")</f>
        <v>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v>
      </c>
      <c r="E18" s="63" t="str">
        <f>IFERROR(__xludf.DUMMYFUNCTION("""COMPUTED_VALUE"""),"2.3. Dissenyar cooperativament la idea triada tenint en compte els recursos materials, econòmics i financers, i humans òptims i necessaris, de manera detallada i acurada.")</f>
        <v>2.3. Dissenyar cooperativament la idea triada tenint en compte els recursos materials, econòmics i financers, i humans òptims i necessaris, de manera detallada i acurada.</v>
      </c>
    </row>
    <row r="19">
      <c r="B19" s="72"/>
      <c r="C19" s="73" t="str">
        <f>IFERROR(__xludf.DUMMYFUNCTION("""COMPUTED_VALUE"""),"3.4 Utilitzar estratègies adequades per iniciar, mantenir i acabar la comunicació, prendre i cedir la paraula, sol·licitar i formular aclariments i explicacions, reformular, comparar i contrastar, resumir, col·laborar, debatre, resoldre problemes i gestio"&amp;"nar situacions compromeses.")</f>
        <v>3.4 Utilitzar estratègies adequades per iniciar, mantenir i acabar la comunicació, prendre i cedir la paraula, sol·licitar i formular aclariments i explicacions, reformular, comparar i contrastar, resumir, col·laborar, debatre, resoldre problemes i gestionar situacions compromeses.</v>
      </c>
      <c r="D19" s="63"/>
      <c r="E19" s="63"/>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OCULT'!B6:RG6='OBJECTIUS-CRITERIS'!C6,'CRITERIS OCULT'!B7:RG7=INICI!C5)"),"#N/A")</f>
        <v>#N/A</v>
      </c>
      <c r="E24" s="122" t="str">
        <f>IFERROR(__xludf.DUMMYFUNCTION("filter('TRANSVERSALS OCULT'!B2:BT8,'TRANSVERSALS OCULT'!B3:BT3='OBJECTIUS-CRITERIS'!C18,'TRANSVERSALS OCULT'!B4:BT4=INICI!C5)"),"CPSAA")</f>
        <v>CPSAA</v>
      </c>
    </row>
    <row r="25" ht="15.75" customHeight="1">
      <c r="B25" s="72"/>
      <c r="C25" s="73"/>
      <c r="E25" s="63" t="str">
        <f>IFERROR(__xludf.DUMMYFUNCTION("""COMPUTED_VALUE"""),"CPSAA 5. Planificar objectius a mitjà termini i desenvolupar processos metacognitius de retroacció per aprendre dels propis errors en el procés de construcció de coneixement.")</f>
        <v>CPSAA 5. Planificar objectius a mitjà termini i desenvolupar processos metacognitius de retroacció per aprendre dels propis errors en el procés de construcció de coneixement.</v>
      </c>
    </row>
    <row r="26" ht="15.75" customHeight="1">
      <c r="B26" s="72"/>
      <c r="C26" s="73"/>
      <c r="E26" s="63" t="str">
        <f>IFERROR(__xludf.DUMMYFUNCTION("""COMPUTED_VALUE"""),"4t ESO")</f>
        <v>4t ESO</v>
      </c>
    </row>
    <row r="27" ht="15.75" customHeight="1">
      <c r="B27" s="72"/>
      <c r="C27" s="73"/>
      <c r="E27" s="63" t="str">
        <f>IFERROR(__xludf.DUMMYFUNCTION("""COMPUTED_VALUE"""),"5.1. Mostrar, a través de diferents mitjans i de manera autònoma, l’apropiació i diferenciació dels objectius d’aprenentatge a mitjà i llarg termini.")</f>
        <v>5.1. Mostrar, a través de diferents mitjans i de manera autònoma, l’apropiació i diferenciació dels objectius d’aprenentatge a mitjà i llarg termini.</v>
      </c>
    </row>
    <row r="28" ht="15.75" customHeight="1">
      <c r="B28" s="72"/>
      <c r="C28" s="73"/>
      <c r="E28" s="63" t="str">
        <f>IFERROR(__xludf.DUMMYFUNCTION("""COMPUTED_VALUE"""),"5.2. Anticipar i planificar, de manera autònoma, les accions més pertinents per aprendre mitjançant processos de metacognició i identificant l’error com una font d’aprenentatge.")</f>
        <v>5.2. Anticipar i planificar, de manera autònoma, les accions més pertinents per aprendre mitjançant processos de metacognició i identificant l’error com una font d’aprenentatge.</v>
      </c>
    </row>
    <row r="29" ht="15.75" customHeight="1">
      <c r="B29" s="76"/>
      <c r="C29" s="77"/>
      <c r="E29" s="63" t="str">
        <f>IFERROR(__xludf.DUMMYFUNCTION("""COMPUTED_VALUE"""),"5.3. Seleccionar i aplicar, de manera autònoma, les estratègies d’aprenentatge pertinents a la tasca proposada que afavoreixi l’aprenentatge en qualsevol context.")</f>
        <v>5.3. Seleccionar i aplicar, de manera autònoma, les estratègies d’aprenentatge pertinents a la tasca proposada que afavoreixi l’aprenentatge en qualsevol context.</v>
      </c>
    </row>
    <row r="30" ht="15.75" customHeight="1">
      <c r="B30" s="72"/>
      <c r="C30" s="73"/>
      <c r="E30" s="63" t="str">
        <f>IFERROR(__xludf.DUMMYFUNCTION("""COMPUTED_VALUE"""),"5.4. Crear, amb suport si escau, instruments i estratègies d’autoavaluació i coavaluació en processos d’autoregulació de l’aprenentatge.")</f>
        <v>5.4. Crear, amb suport si escau, instruments i estratègies d’autoavaluació i coavaluació en processos d’autoregulació de l’aprenentatge.</v>
      </c>
    </row>
    <row r="31" ht="15.75" customHeight="1">
      <c r="B31" s="72"/>
      <c r="C31" s="73"/>
    </row>
    <row r="32" ht="15.75" customHeight="1">
      <c r="B32" s="72"/>
      <c r="C32" s="73"/>
    </row>
    <row r="33" ht="15.75" customHeight="1">
      <c r="B33" s="72"/>
      <c r="C33" s="73"/>
    </row>
    <row r="34" ht="15.75" customHeight="1">
      <c r="A34" s="63" t="s">
        <v>795</v>
      </c>
      <c r="B34" s="74">
        <v>4.0</v>
      </c>
      <c r="C34" s="121" t="str">
        <f>IFERROR(__xludf.DUMMYFUNCTION("filter('CRITERIS OCULT'!B5:RG14,'CRITERIS OCULT'!B6:RG6='OBJECTIUS-CRITERIS'!C7,'CRITERIS OCULT'!B7:RG7=INICI!C5)"),"#N/A")</f>
        <v>#N/A</v>
      </c>
      <c r="E34" s="122" t="str">
        <f>IFERROR(__xludf.DUMMYFUNCTION("filter('TRANSVERSALS OCULT'!B2:BT8,'TRANSVERSALS OCULT'!B3:BT3='OBJECTIUS-CRITERIS'!C19,'TRANSVERSALS OCULT'!B4:BT4=INICI!C5)"),"Competència Digital")</f>
        <v>Competència Digital</v>
      </c>
      <c r="F34" s="123"/>
      <c r="G34" s="123"/>
      <c r="H34" s="123"/>
      <c r="I34" s="123"/>
      <c r="J34" s="123"/>
      <c r="K34" s="123"/>
      <c r="L34" s="123"/>
      <c r="M34" s="123"/>
      <c r="N34" s="123"/>
      <c r="O34" s="123"/>
      <c r="P34" s="123"/>
      <c r="Q34" s="123"/>
      <c r="R34" s="123"/>
    </row>
    <row r="35" ht="15.75" customHeight="1">
      <c r="B35" s="72"/>
      <c r="C35" s="73"/>
      <c r="E35" s="63" t="str">
        <f>IFERROR(__xludf.DUMMYFUNCTION("""COMPUTED_VALUE"""),"CD1. Fer cerques avançades a Internet atenent a criteris de validesa, qualitat, actualitat i fiabilitat, seleccionant-les de manera crítica i arxivant-les per recuperar, referenciar i reutilitzar aquestes recerques respecte a la propietat intel·lectual.")</f>
        <v>CD1. Fer cerques avançades a Internet atenent a criteris de validesa, qualitat, actualitat i fiabilitat, seleccionant-les de manera crítica i arxivant-les per recuperar, referenciar i reutilitzar aquestes recerques respecte a la propietat intel·lectual.</v>
      </c>
    </row>
    <row r="36" ht="15.75" customHeight="1">
      <c r="B36" s="72"/>
      <c r="C36" s="73"/>
      <c r="E36" s="63" t="str">
        <f>IFERROR(__xludf.DUMMYFUNCTION("""COMPUTED_VALUE"""),"4t ESO")</f>
        <v>4t ESO</v>
      </c>
    </row>
    <row r="37" ht="15.75" customHeight="1">
      <c r="B37" s="72"/>
      <c r="C37" s="73"/>
      <c r="E37" s="63" t="str">
        <f>IFERROR(__xludf.DUMMYFUNCTION("""COMPUTED_VALUE"""),"1.1. Utilitzar cercadors genèrics i específics fent ús d’opcions avançades i seleccionant i aplicant les estratègies més eficients en relació amb el repte plantejat.")</f>
        <v>1.1. Utilitzar cercadors genèrics i específics fent ús d’opcions avançades i seleccionant i aplicant les estratègies més eficients en relació amb el repte plantejat.</v>
      </c>
    </row>
    <row r="38" ht="15.75" customHeight="1">
      <c r="B38" s="72"/>
      <c r="C38" s="73"/>
      <c r="E38" s="63" t="str">
        <f>IFERROR(__xludf.DUMMYFUNCTION("""COMPUTED_VALUE"""),"1.2. Seleccionar, de manera autònoma, la informació trobada amb actitud crítica a partir de la verificació realitzada en relació amb el repte plantejat.")</f>
        <v>1.2. Seleccionar, de manera autònoma, la informació trobada amb actitud crítica a partir de la verificació realitzada en relació amb el repte plantejat.</v>
      </c>
    </row>
    <row r="39" ht="15.75" customHeight="1">
      <c r="B39" s="80"/>
      <c r="C39" s="81"/>
      <c r="E39" s="63" t="str">
        <f>IFERROR(__xludf.DUMMYFUNCTION("""COMPUTED_VALUE"""),"1.3. Emmagatzemar la informació trobada referenciant les cerques per reutilitzar-la en relació amb el repte plantejat, respectant la propietat intel·lectual.")</f>
        <v>1.3. Emmagatzemar la informació trobada referenciant les cerques per reutilitzar-la en relació amb el repte plantejat, respectant la propietat intel·lectual.</v>
      </c>
    </row>
    <row r="40" ht="15.75" customHeight="1">
      <c r="B40" s="72"/>
      <c r="C40" s="73"/>
      <c r="E40" s="63" t="str">
        <f>IFERROR(__xludf.DUMMYFUNCTION("""COMPUTED_VALUE"""),"1.4. Recuperar eficientment la informació emmagatzemada necessària per donar resposta al repte plantejat.")</f>
        <v>1.4. Recuperar eficientment la informació emmagatzemada necessària per donar resposta al repte plantejat.</v>
      </c>
    </row>
    <row r="41" ht="15.75" customHeight="1">
      <c r="B41" s="72"/>
      <c r="C41" s="73"/>
    </row>
    <row r="42" ht="15.75" customHeight="1">
      <c r="B42" s="72"/>
      <c r="C42" s="73"/>
    </row>
    <row r="43" ht="15.75" customHeight="1">
      <c r="B43" s="72"/>
      <c r="C43" s="73"/>
    </row>
    <row r="44" ht="15.75" customHeight="1">
      <c r="A44" s="63" t="s">
        <v>796</v>
      </c>
      <c r="B44" s="78">
        <v>5.0</v>
      </c>
      <c r="C44" s="121" t="str">
        <f>IFERROR(__xludf.DUMMYFUNCTION("filter('CRITERIS OCULT'!B5:RG13,'CRITERIS OCULT'!B6:RG6='OBJECTIUS-CRITERIS'!C8,'CRITERIS OCULT'!B7:RG7=INICI!C5)"),"#N/A")</f>
        <v>#N/A</v>
      </c>
    </row>
    <row r="45" ht="15.75" customHeight="1">
      <c r="B45" s="72"/>
      <c r="C45" s="73"/>
    </row>
    <row r="46" ht="15.75" customHeight="1">
      <c r="B46" s="72"/>
      <c r="C46" s="73"/>
    </row>
    <row r="47" ht="15.75" customHeight="1">
      <c r="B47" s="72"/>
      <c r="C47" s="73"/>
    </row>
    <row r="48" ht="15.75" customHeight="1">
      <c r="B48" s="72"/>
      <c r="C48" s="73"/>
    </row>
    <row r="49" ht="15.75" customHeight="1">
      <c r="B49" s="72"/>
      <c r="C49" s="73"/>
    </row>
    <row r="50" ht="15.75" customHeight="1">
      <c r="B50" s="72"/>
      <c r="C50" s="73"/>
    </row>
    <row r="51" ht="15.75" customHeight="1">
      <c r="B51" s="82"/>
      <c r="C51" s="83"/>
    </row>
    <row r="52" ht="15.75" customHeight="1">
      <c r="B52" s="82"/>
      <c r="C52" s="83"/>
    </row>
    <row r="53" ht="15.75" customHeight="1">
      <c r="B53" s="82"/>
      <c r="C53" s="83"/>
    </row>
    <row r="54" ht="15.75" customHeight="1">
      <c r="A54" s="63" t="s">
        <v>797</v>
      </c>
      <c r="B54" s="84">
        <v>6.0</v>
      </c>
      <c r="C54" s="121" t="str">
        <f>IFERROR(__xludf.DUMMYFUNCTION("filter('CRITERIS OCULT'!B5:RG13,'CRITERIS OCULT'!B6:RG6='OBJECTIUS-CRITERIS'!C9,'CRITERIS OCULT'!B7:RG7=INICI!C5)"),"#N/A")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OCULT'!B6:RG6='OBJECTIUS-CRITERIS'!C10,'CRITERIS OCULT'!B7:RG7=INICI!C5)"),"#N/A")</f>
        <v>#N/A</v>
      </c>
    </row>
    <row r="65" ht="15.75" customHeight="1">
      <c r="B65" s="72"/>
      <c r="C65" s="73"/>
    </row>
    <row r="66" ht="15.75" customHeight="1">
      <c r="B66" s="72"/>
      <c r="C66" s="73"/>
    </row>
    <row r="67" ht="15.75" customHeight="1">
      <c r="B67" s="72"/>
      <c r="C67" s="73"/>
    </row>
    <row r="68" ht="15.75" customHeight="1">
      <c r="B68" s="72"/>
      <c r="C68" s="73"/>
    </row>
    <row r="69" ht="15.75" customHeight="1">
      <c r="B69" s="72"/>
      <c r="C69" s="73"/>
    </row>
    <row r="70" ht="15.75" customHeight="1">
      <c r="B70" s="72"/>
      <c r="C70" s="73"/>
    </row>
    <row r="71" ht="15.75" customHeight="1">
      <c r="B71" s="72"/>
      <c r="C71" s="73"/>
    </row>
    <row r="72" ht="15.75" customHeight="1">
      <c r="B72" s="72"/>
      <c r="C72" s="73"/>
    </row>
    <row r="73" ht="15.75" customHeight="1">
      <c r="B73" s="72"/>
      <c r="C73" s="73"/>
    </row>
    <row r="74" ht="15.75" customHeight="1">
      <c r="A74" s="63" t="s">
        <v>799</v>
      </c>
      <c r="B74" s="84">
        <v>8.0</v>
      </c>
      <c r="C74" s="121" t="str">
        <f>IFERROR(__xludf.DUMMYFUNCTION("filter('CRITERIS OCULT'!B5:RG14,'CRITERIS OCULT'!B6:RG6='OBJECTIUS-CRITERIS'!C11,'CRITERIS OCULT'!B7:RG7=INICI!C5)"),"#N/A")</f>
        <v>#N/A</v>
      </c>
    </row>
    <row r="75" ht="15.75" customHeight="1">
      <c r="B75" s="72"/>
      <c r="C75" s="73"/>
    </row>
    <row r="76" ht="15.75" customHeight="1">
      <c r="B76" s="72"/>
      <c r="C76" s="73"/>
    </row>
    <row r="77" ht="15.75" customHeight="1">
      <c r="B77" s="72"/>
      <c r="C77" s="73"/>
    </row>
    <row r="78" ht="15.75" customHeight="1">
      <c r="B78" s="72"/>
      <c r="C78" s="73"/>
    </row>
    <row r="79" ht="15.75" customHeight="1">
      <c r="B79" s="72"/>
      <c r="C79" s="73"/>
    </row>
    <row r="80" ht="15.75" customHeight="1">
      <c r="B80" s="72"/>
      <c r="C80" s="73"/>
    </row>
    <row r="81" ht="15.75" customHeight="1">
      <c r="B81" s="72"/>
      <c r="C81" s="73"/>
    </row>
    <row r="82" ht="15.75" customHeight="1">
      <c r="B82" s="72"/>
      <c r="C82" s="73"/>
    </row>
    <row r="83" ht="15.75" customHeight="1">
      <c r="B83" s="72"/>
      <c r="C83" s="73"/>
    </row>
    <row r="84" ht="15.75" customHeight="1">
      <c r="A84" s="63" t="s">
        <v>800</v>
      </c>
      <c r="B84" s="86">
        <v>9.0</v>
      </c>
      <c r="C84" s="121" t="str">
        <f>IFERROR(__xludf.DUMMYFUNCTION("filter('CRITERIS OCULT'!B5:RG14,'CRITERIS OCULT'!B6:RG6='OBJECTIUS-CRITERIS'!C12,'CRITERIS OCULT'!B7:RG7=INICI!C5)"),"#N/A")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OCULT'!B6:RG6='OBJECTIUS-CRITERIS'!C13,'CRITERIS OCULT'!B7:RG7=INICI!C5)"),"#N/A")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5"/>
      <c r="B1" s="125"/>
      <c r="C1" s="125"/>
      <c r="D1" s="125"/>
      <c r="E1" s="125"/>
      <c r="F1" s="125"/>
      <c r="G1" s="125"/>
      <c r="H1" s="125"/>
      <c r="I1" s="125"/>
      <c r="J1" s="125"/>
      <c r="K1" s="125"/>
      <c r="L1" s="125"/>
      <c r="M1" s="125"/>
      <c r="N1" s="125"/>
      <c r="O1" s="125"/>
      <c r="P1" s="125"/>
      <c r="Q1" s="125"/>
      <c r="R1" s="126"/>
      <c r="S1" s="125"/>
      <c r="T1" s="125"/>
      <c r="U1" s="125"/>
      <c r="V1" s="125"/>
      <c r="W1" s="125"/>
      <c r="X1" s="125"/>
      <c r="Y1" s="125"/>
      <c r="Z1" s="125"/>
      <c r="AA1" s="125"/>
      <c r="AB1" s="125"/>
      <c r="AC1" s="125"/>
      <c r="AD1" s="125"/>
      <c r="AE1" s="127"/>
      <c r="AF1" s="125"/>
      <c r="AG1" s="125"/>
      <c r="AH1" s="125"/>
      <c r="AI1" s="125"/>
      <c r="AJ1" s="125"/>
      <c r="AK1" s="125"/>
      <c r="AL1" s="125"/>
      <c r="AM1" s="125"/>
      <c r="AN1" s="125"/>
      <c r="AO1" s="125"/>
      <c r="AP1" s="125"/>
      <c r="AQ1" s="125"/>
      <c r="AR1" s="125"/>
      <c r="AS1" s="125"/>
      <c r="AT1" s="125"/>
      <c r="AU1" s="125"/>
      <c r="AV1" s="125"/>
      <c r="AW1" s="125"/>
      <c r="AX1" s="125"/>
      <c r="AY1" s="125"/>
      <c r="AZ1" s="126"/>
      <c r="BA1" s="125"/>
      <c r="BB1" s="125"/>
      <c r="BC1" s="125"/>
      <c r="BD1" s="125"/>
      <c r="BE1" s="125"/>
      <c r="BF1" s="125"/>
      <c r="BG1" s="125"/>
      <c r="BH1" s="125"/>
      <c r="BI1" s="125"/>
      <c r="BJ1" s="125"/>
      <c r="BK1" s="125"/>
      <c r="BL1" s="125"/>
      <c r="BM1" s="125"/>
      <c r="BN1" s="125"/>
      <c r="BO1" s="125"/>
      <c r="BP1" s="125"/>
      <c r="BQ1" s="125"/>
      <c r="BR1" s="125"/>
      <c r="BS1" s="125"/>
      <c r="BT1" s="125"/>
      <c r="BU1" s="125"/>
    </row>
    <row r="2">
      <c r="A2" s="128"/>
      <c r="B2" s="129" t="s">
        <v>39</v>
      </c>
      <c r="C2" s="129" t="s">
        <v>39</v>
      </c>
      <c r="D2" s="129" t="s">
        <v>39</v>
      </c>
      <c r="E2" s="129" t="s">
        <v>39</v>
      </c>
      <c r="F2" s="129" t="s">
        <v>39</v>
      </c>
      <c r="G2" s="129" t="s">
        <v>39</v>
      </c>
      <c r="H2" s="129" t="s">
        <v>39</v>
      </c>
      <c r="I2" s="129" t="s">
        <v>39</v>
      </c>
      <c r="J2" s="129" t="s">
        <v>39</v>
      </c>
      <c r="K2" s="129" t="s">
        <v>39</v>
      </c>
      <c r="L2" s="129" t="s">
        <v>39</v>
      </c>
      <c r="M2" s="129" t="s">
        <v>39</v>
      </c>
      <c r="N2" s="129" t="s">
        <v>39</v>
      </c>
      <c r="O2" s="129" t="s">
        <v>39</v>
      </c>
      <c r="P2" s="129" t="s">
        <v>39</v>
      </c>
      <c r="Q2" s="129" t="s">
        <v>39</v>
      </c>
      <c r="R2" s="130"/>
      <c r="S2" s="131" t="s">
        <v>40</v>
      </c>
      <c r="T2" s="131" t="s">
        <v>40</v>
      </c>
      <c r="U2" s="131" t="s">
        <v>40</v>
      </c>
      <c r="V2" s="131" t="s">
        <v>40</v>
      </c>
      <c r="W2" s="131" t="s">
        <v>40</v>
      </c>
      <c r="X2" s="131" t="s">
        <v>40</v>
      </c>
      <c r="Y2" s="131" t="s">
        <v>40</v>
      </c>
      <c r="Z2" s="131" t="s">
        <v>40</v>
      </c>
      <c r="AA2" s="131" t="s">
        <v>40</v>
      </c>
      <c r="AB2" s="131" t="s">
        <v>40</v>
      </c>
      <c r="AC2" s="131" t="s">
        <v>40</v>
      </c>
      <c r="AD2" s="131" t="s">
        <v>40</v>
      </c>
      <c r="AE2" s="132"/>
      <c r="AF2" s="133" t="s">
        <v>41</v>
      </c>
      <c r="AG2" s="133" t="s">
        <v>41</v>
      </c>
      <c r="AH2" s="133" t="s">
        <v>41</v>
      </c>
      <c r="AI2" s="133" t="s">
        <v>41</v>
      </c>
      <c r="AJ2" s="133" t="s">
        <v>41</v>
      </c>
      <c r="AK2" s="133" t="s">
        <v>41</v>
      </c>
      <c r="AL2" s="133" t="s">
        <v>41</v>
      </c>
      <c r="AM2" s="133" t="s">
        <v>41</v>
      </c>
      <c r="AN2" s="133" t="s">
        <v>41</v>
      </c>
      <c r="AO2" s="133" t="s">
        <v>41</v>
      </c>
      <c r="AP2" s="133" t="s">
        <v>41</v>
      </c>
      <c r="AQ2" s="133" t="s">
        <v>41</v>
      </c>
      <c r="AR2" s="133" t="s">
        <v>41</v>
      </c>
      <c r="AS2" s="133" t="s">
        <v>41</v>
      </c>
      <c r="AT2" s="133" t="s">
        <v>41</v>
      </c>
      <c r="AU2" s="133" t="s">
        <v>41</v>
      </c>
      <c r="AV2" s="133" t="s">
        <v>41</v>
      </c>
      <c r="AW2" s="133" t="s">
        <v>41</v>
      </c>
      <c r="AX2" s="133" t="s">
        <v>41</v>
      </c>
      <c r="AY2" s="133" t="s">
        <v>41</v>
      </c>
      <c r="AZ2" s="134"/>
      <c r="BA2" s="135" t="s">
        <v>42</v>
      </c>
      <c r="BB2" s="135" t="s">
        <v>42</v>
      </c>
      <c r="BC2" s="135" t="s">
        <v>42</v>
      </c>
      <c r="BD2" s="135" t="s">
        <v>42</v>
      </c>
      <c r="BE2" s="135" t="s">
        <v>42</v>
      </c>
      <c r="BF2" s="135" t="s">
        <v>42</v>
      </c>
      <c r="BG2" s="135" t="s">
        <v>42</v>
      </c>
      <c r="BH2" s="135" t="s">
        <v>42</v>
      </c>
      <c r="BI2" s="135" t="s">
        <v>42</v>
      </c>
      <c r="BJ2" s="135" t="s">
        <v>42</v>
      </c>
      <c r="BK2" s="135" t="s">
        <v>42</v>
      </c>
      <c r="BL2" s="135" t="s">
        <v>42</v>
      </c>
      <c r="BM2" s="135" t="s">
        <v>42</v>
      </c>
      <c r="BN2" s="135" t="s">
        <v>42</v>
      </c>
      <c r="BO2" s="135" t="s">
        <v>42</v>
      </c>
      <c r="BP2" s="135" t="s">
        <v>42</v>
      </c>
      <c r="BQ2" s="135" t="s">
        <v>42</v>
      </c>
      <c r="BR2" s="135" t="s">
        <v>42</v>
      </c>
      <c r="BS2" s="135" t="s">
        <v>42</v>
      </c>
      <c r="BT2" s="135" t="s">
        <v>42</v>
      </c>
      <c r="BU2" s="61"/>
    </row>
    <row r="3">
      <c r="A3" s="136"/>
      <c r="B3" s="136" t="s">
        <v>65</v>
      </c>
      <c r="C3" s="136" t="s">
        <v>65</v>
      </c>
      <c r="D3" s="136" t="s">
        <v>65</v>
      </c>
      <c r="E3" s="136" t="s">
        <v>65</v>
      </c>
      <c r="F3" s="136" t="s">
        <v>90</v>
      </c>
      <c r="G3" s="136" t="s">
        <v>90</v>
      </c>
      <c r="H3" s="136" t="s">
        <v>90</v>
      </c>
      <c r="I3" s="136" t="s">
        <v>90</v>
      </c>
      <c r="J3" s="136" t="s">
        <v>115</v>
      </c>
      <c r="K3" s="136" t="s">
        <v>115</v>
      </c>
      <c r="L3" s="136" t="s">
        <v>115</v>
      </c>
      <c r="M3" s="136" t="s">
        <v>115</v>
      </c>
      <c r="N3" s="136" t="s">
        <v>142</v>
      </c>
      <c r="O3" s="136" t="s">
        <v>142</v>
      </c>
      <c r="P3" s="136" t="s">
        <v>142</v>
      </c>
      <c r="Q3" s="136" t="s">
        <v>142</v>
      </c>
      <c r="R3" s="137"/>
      <c r="S3" s="136" t="s">
        <v>66</v>
      </c>
      <c r="T3" s="136" t="s">
        <v>66</v>
      </c>
      <c r="U3" s="136" t="s">
        <v>66</v>
      </c>
      <c r="V3" s="136" t="s">
        <v>66</v>
      </c>
      <c r="W3" s="136" t="s">
        <v>91</v>
      </c>
      <c r="X3" s="136" t="s">
        <v>91</v>
      </c>
      <c r="Y3" s="136" t="s">
        <v>91</v>
      </c>
      <c r="Z3" s="136" t="s">
        <v>91</v>
      </c>
      <c r="AA3" s="136" t="s">
        <v>116</v>
      </c>
      <c r="AB3" s="136" t="s">
        <v>116</v>
      </c>
      <c r="AC3" s="136" t="s">
        <v>116</v>
      </c>
      <c r="AD3" s="136" t="s">
        <v>116</v>
      </c>
      <c r="AE3" s="138"/>
      <c r="AF3" s="136" t="s">
        <v>67</v>
      </c>
      <c r="AG3" s="136" t="s">
        <v>67</v>
      </c>
      <c r="AH3" s="136" t="s">
        <v>67</v>
      </c>
      <c r="AI3" s="136" t="s">
        <v>67</v>
      </c>
      <c r="AJ3" s="136" t="s">
        <v>92</v>
      </c>
      <c r="AK3" s="136" t="s">
        <v>92</v>
      </c>
      <c r="AL3" s="136" t="s">
        <v>92</v>
      </c>
      <c r="AM3" s="136" t="s">
        <v>92</v>
      </c>
      <c r="AN3" s="136" t="s">
        <v>117</v>
      </c>
      <c r="AO3" s="136" t="s">
        <v>117</v>
      </c>
      <c r="AP3" s="136" t="s">
        <v>117</v>
      </c>
      <c r="AQ3" s="136" t="s">
        <v>117</v>
      </c>
      <c r="AR3" s="136" t="s">
        <v>143</v>
      </c>
      <c r="AS3" s="136" t="s">
        <v>143</v>
      </c>
      <c r="AT3" s="136" t="s">
        <v>143</v>
      </c>
      <c r="AU3" s="136" t="s">
        <v>143</v>
      </c>
      <c r="AV3" s="136" t="s">
        <v>160</v>
      </c>
      <c r="AW3" s="136" t="s">
        <v>160</v>
      </c>
      <c r="AX3" s="136" t="s">
        <v>160</v>
      </c>
      <c r="AY3" s="136" t="s">
        <v>160</v>
      </c>
      <c r="AZ3" s="137"/>
      <c r="BA3" s="136" t="s">
        <v>68</v>
      </c>
      <c r="BB3" s="136" t="s">
        <v>68</v>
      </c>
      <c r="BC3" s="136" t="s">
        <v>68</v>
      </c>
      <c r="BD3" s="136" t="s">
        <v>68</v>
      </c>
      <c r="BE3" s="136" t="s">
        <v>93</v>
      </c>
      <c r="BF3" s="136" t="s">
        <v>93</v>
      </c>
      <c r="BG3" s="136" t="s">
        <v>93</v>
      </c>
      <c r="BH3" s="136" t="s">
        <v>93</v>
      </c>
      <c r="BI3" s="136" t="s">
        <v>118</v>
      </c>
      <c r="BJ3" s="136" t="s">
        <v>118</v>
      </c>
      <c r="BK3" s="136" t="s">
        <v>118</v>
      </c>
      <c r="BL3" s="136" t="s">
        <v>118</v>
      </c>
      <c r="BM3" s="136" t="s">
        <v>144</v>
      </c>
      <c r="BN3" s="136" t="s">
        <v>144</v>
      </c>
      <c r="BO3" s="136" t="s">
        <v>144</v>
      </c>
      <c r="BP3" s="136" t="s">
        <v>144</v>
      </c>
      <c r="BQ3" s="136" t="s">
        <v>161</v>
      </c>
      <c r="BR3" s="136" t="s">
        <v>161</v>
      </c>
      <c r="BS3" s="136" t="s">
        <v>161</v>
      </c>
      <c r="BT3" s="136" t="s">
        <v>161</v>
      </c>
      <c r="BU3" s="139"/>
    </row>
    <row r="4" ht="15.0" customHeight="1">
      <c r="A4" s="139"/>
      <c r="B4" s="139" t="s">
        <v>194</v>
      </c>
      <c r="C4" s="139" t="s">
        <v>195</v>
      </c>
      <c r="D4" s="139" t="s">
        <v>196</v>
      </c>
      <c r="E4" s="139" t="s">
        <v>197</v>
      </c>
      <c r="F4" s="139" t="s">
        <v>194</v>
      </c>
      <c r="G4" s="139" t="s">
        <v>195</v>
      </c>
      <c r="H4" s="139" t="s">
        <v>196</v>
      </c>
      <c r="I4" s="139" t="s">
        <v>197</v>
      </c>
      <c r="J4" s="139" t="s">
        <v>194</v>
      </c>
      <c r="K4" s="139" t="s">
        <v>195</v>
      </c>
      <c r="L4" s="139" t="s">
        <v>196</v>
      </c>
      <c r="M4" s="139" t="s">
        <v>197</v>
      </c>
      <c r="N4" s="139" t="s">
        <v>194</v>
      </c>
      <c r="O4" s="139" t="s">
        <v>195</v>
      </c>
      <c r="P4" s="139" t="s">
        <v>196</v>
      </c>
      <c r="Q4" s="139" t="s">
        <v>197</v>
      </c>
      <c r="R4" s="137"/>
      <c r="S4" s="139" t="s">
        <v>194</v>
      </c>
      <c r="T4" s="139" t="s">
        <v>195</v>
      </c>
      <c r="U4" s="139" t="s">
        <v>196</v>
      </c>
      <c r="V4" s="139" t="s">
        <v>197</v>
      </c>
      <c r="W4" s="139" t="s">
        <v>194</v>
      </c>
      <c r="X4" s="139" t="s">
        <v>195</v>
      </c>
      <c r="Y4" s="139" t="s">
        <v>196</v>
      </c>
      <c r="Z4" s="139" t="s">
        <v>197</v>
      </c>
      <c r="AA4" s="139" t="s">
        <v>194</v>
      </c>
      <c r="AB4" s="139" t="s">
        <v>195</v>
      </c>
      <c r="AC4" s="139" t="s">
        <v>196</v>
      </c>
      <c r="AD4" s="139" t="s">
        <v>197</v>
      </c>
      <c r="AE4" s="138"/>
      <c r="AF4" s="139" t="s">
        <v>194</v>
      </c>
      <c r="AG4" s="139" t="s">
        <v>195</v>
      </c>
      <c r="AH4" s="139" t="s">
        <v>196</v>
      </c>
      <c r="AI4" s="139" t="s">
        <v>197</v>
      </c>
      <c r="AJ4" s="139" t="s">
        <v>194</v>
      </c>
      <c r="AK4" s="139" t="s">
        <v>195</v>
      </c>
      <c r="AL4" s="139" t="s">
        <v>196</v>
      </c>
      <c r="AM4" s="139" t="s">
        <v>197</v>
      </c>
      <c r="AN4" s="139" t="s">
        <v>194</v>
      </c>
      <c r="AO4" s="139" t="s">
        <v>195</v>
      </c>
      <c r="AP4" s="139" t="s">
        <v>196</v>
      </c>
      <c r="AQ4" s="139" t="s">
        <v>197</v>
      </c>
      <c r="AR4" s="139" t="s">
        <v>194</v>
      </c>
      <c r="AS4" s="139" t="s">
        <v>195</v>
      </c>
      <c r="AT4" s="139" t="s">
        <v>196</v>
      </c>
      <c r="AU4" s="139" t="s">
        <v>197</v>
      </c>
      <c r="AV4" s="139" t="s">
        <v>194</v>
      </c>
      <c r="AW4" s="139" t="s">
        <v>195</v>
      </c>
      <c r="AX4" s="139" t="s">
        <v>196</v>
      </c>
      <c r="AY4" s="139" t="s">
        <v>197</v>
      </c>
      <c r="AZ4" s="137"/>
      <c r="BA4" s="139" t="s">
        <v>194</v>
      </c>
      <c r="BB4" s="139" t="s">
        <v>195</v>
      </c>
      <c r="BC4" s="139" t="s">
        <v>196</v>
      </c>
      <c r="BD4" s="139" t="s">
        <v>197</v>
      </c>
      <c r="BE4" s="139" t="s">
        <v>194</v>
      </c>
      <c r="BF4" s="139" t="s">
        <v>195</v>
      </c>
      <c r="BG4" s="139" t="s">
        <v>196</v>
      </c>
      <c r="BH4" s="139" t="s">
        <v>197</v>
      </c>
      <c r="BI4" s="139" t="s">
        <v>194</v>
      </c>
      <c r="BJ4" s="139" t="s">
        <v>195</v>
      </c>
      <c r="BK4" s="139" t="s">
        <v>196</v>
      </c>
      <c r="BL4" s="139" t="s">
        <v>197</v>
      </c>
      <c r="BM4" s="139" t="s">
        <v>194</v>
      </c>
      <c r="BN4" s="139" t="s">
        <v>195</v>
      </c>
      <c r="BO4" s="139" t="s">
        <v>196</v>
      </c>
      <c r="BP4" s="139" t="s">
        <v>197</v>
      </c>
      <c r="BQ4" s="139" t="s">
        <v>194</v>
      </c>
      <c r="BR4" s="139" t="s">
        <v>195</v>
      </c>
      <c r="BS4" s="139" t="s">
        <v>196</v>
      </c>
      <c r="BT4" s="139" t="s">
        <v>197</v>
      </c>
      <c r="BU4" s="139"/>
    </row>
    <row r="5">
      <c r="A5" s="139"/>
      <c r="B5" s="139" t="s">
        <v>802</v>
      </c>
      <c r="C5" s="139" t="s">
        <v>802</v>
      </c>
      <c r="D5" s="140" t="s">
        <v>803</v>
      </c>
      <c r="E5" s="141" t="s">
        <v>803</v>
      </c>
      <c r="F5" s="139" t="s">
        <v>804</v>
      </c>
      <c r="G5" s="139" t="s">
        <v>804</v>
      </c>
      <c r="H5" s="139" t="s">
        <v>805</v>
      </c>
      <c r="I5" s="139" t="s">
        <v>805</v>
      </c>
      <c r="J5" s="139" t="s">
        <v>806</v>
      </c>
      <c r="K5" s="139" t="s">
        <v>806</v>
      </c>
      <c r="L5" s="139" t="s">
        <v>807</v>
      </c>
      <c r="M5" s="139" t="s">
        <v>807</v>
      </c>
      <c r="N5" s="139" t="s">
        <v>808</v>
      </c>
      <c r="O5" s="139" t="s">
        <v>808</v>
      </c>
      <c r="P5" s="139" t="s">
        <v>809</v>
      </c>
      <c r="Q5" s="139" t="s">
        <v>809</v>
      </c>
      <c r="R5" s="137"/>
      <c r="S5" s="142" t="s">
        <v>810</v>
      </c>
      <c r="T5" s="142" t="s">
        <v>810</v>
      </c>
      <c r="U5" s="142" t="s">
        <v>811</v>
      </c>
      <c r="V5" s="142" t="s">
        <v>811</v>
      </c>
      <c r="W5" s="142" t="s">
        <v>812</v>
      </c>
      <c r="X5" s="142" t="s">
        <v>812</v>
      </c>
      <c r="Y5" s="142" t="s">
        <v>813</v>
      </c>
      <c r="Z5" s="142" t="s">
        <v>813</v>
      </c>
      <c r="AA5" s="142" t="s">
        <v>814</v>
      </c>
      <c r="AB5" s="142" t="s">
        <v>814</v>
      </c>
      <c r="AC5" s="142" t="s">
        <v>815</v>
      </c>
      <c r="AD5" s="142" t="s">
        <v>815</v>
      </c>
      <c r="AE5" s="138"/>
      <c r="AF5" s="142" t="s">
        <v>816</v>
      </c>
      <c r="AG5" s="142" t="s">
        <v>816</v>
      </c>
      <c r="AH5" s="142" t="s">
        <v>817</v>
      </c>
      <c r="AI5" s="142" t="s">
        <v>817</v>
      </c>
      <c r="AJ5" s="142" t="s">
        <v>818</v>
      </c>
      <c r="AK5" s="142" t="s">
        <v>818</v>
      </c>
      <c r="AL5" s="139" t="s">
        <v>819</v>
      </c>
      <c r="AM5" s="139" t="s">
        <v>819</v>
      </c>
      <c r="AN5" s="139" t="s">
        <v>820</v>
      </c>
      <c r="AO5" s="139" t="s">
        <v>820</v>
      </c>
      <c r="AP5" s="139" t="s">
        <v>821</v>
      </c>
      <c r="AQ5" s="139" t="s">
        <v>821</v>
      </c>
      <c r="AR5" s="139" t="s">
        <v>822</v>
      </c>
      <c r="AS5" s="139" t="s">
        <v>822</v>
      </c>
      <c r="AT5" s="139" t="s">
        <v>823</v>
      </c>
      <c r="AU5" s="139" t="s">
        <v>823</v>
      </c>
      <c r="AV5" s="139" t="s">
        <v>824</v>
      </c>
      <c r="AW5" s="139" t="s">
        <v>824</v>
      </c>
      <c r="AX5" s="139" t="s">
        <v>825</v>
      </c>
      <c r="AY5" s="139" t="s">
        <v>825</v>
      </c>
      <c r="AZ5" s="137"/>
      <c r="BA5" s="139" t="s">
        <v>826</v>
      </c>
      <c r="BB5" s="139" t="s">
        <v>826</v>
      </c>
      <c r="BC5" s="139" t="s">
        <v>827</v>
      </c>
      <c r="BD5" s="139" t="s">
        <v>827</v>
      </c>
      <c r="BE5" s="139" t="s">
        <v>828</v>
      </c>
      <c r="BF5" s="139" t="s">
        <v>828</v>
      </c>
      <c r="BG5" s="139" t="s">
        <v>829</v>
      </c>
      <c r="BH5" s="139" t="s">
        <v>829</v>
      </c>
      <c r="BI5" s="139" t="s">
        <v>830</v>
      </c>
      <c r="BJ5" s="139" t="s">
        <v>830</v>
      </c>
      <c r="BK5" s="139" t="s">
        <v>831</v>
      </c>
      <c r="BL5" s="139" t="s">
        <v>831</v>
      </c>
      <c r="BM5" s="139" t="s">
        <v>832</v>
      </c>
      <c r="BN5" s="139" t="s">
        <v>832</v>
      </c>
      <c r="BO5" s="139" t="s">
        <v>833</v>
      </c>
      <c r="BP5" s="139" t="s">
        <v>833</v>
      </c>
      <c r="BQ5" s="139" t="s">
        <v>834</v>
      </c>
      <c r="BR5" s="139" t="s">
        <v>834</v>
      </c>
      <c r="BS5" s="139" t="s">
        <v>835</v>
      </c>
      <c r="BT5" s="139" t="s">
        <v>835</v>
      </c>
      <c r="BU5" s="139"/>
    </row>
    <row r="6">
      <c r="A6" s="139"/>
      <c r="B6" s="139" t="s">
        <v>836</v>
      </c>
      <c r="C6" s="139" t="s">
        <v>836</v>
      </c>
      <c r="D6" s="139" t="s">
        <v>837</v>
      </c>
      <c r="E6" s="139" t="s">
        <v>837</v>
      </c>
      <c r="F6" s="139" t="s">
        <v>838</v>
      </c>
      <c r="G6" s="139" t="s">
        <v>838</v>
      </c>
      <c r="H6" s="139" t="s">
        <v>839</v>
      </c>
      <c r="I6" s="139" t="s">
        <v>839</v>
      </c>
      <c r="J6" s="139" t="s">
        <v>840</v>
      </c>
      <c r="K6" s="139" t="s">
        <v>840</v>
      </c>
      <c r="L6" s="139" t="s">
        <v>841</v>
      </c>
      <c r="M6" s="139" t="s">
        <v>841</v>
      </c>
      <c r="N6" s="139" t="s">
        <v>842</v>
      </c>
      <c r="O6" s="139" t="s">
        <v>842</v>
      </c>
      <c r="P6" s="139" t="s">
        <v>843</v>
      </c>
      <c r="Q6" s="139" t="s">
        <v>843</v>
      </c>
      <c r="R6" s="137"/>
      <c r="S6" s="142" t="s">
        <v>844</v>
      </c>
      <c r="T6" s="142" t="s">
        <v>844</v>
      </c>
      <c r="U6" s="142" t="s">
        <v>845</v>
      </c>
      <c r="V6" s="142" t="s">
        <v>845</v>
      </c>
      <c r="W6" s="142" t="s">
        <v>846</v>
      </c>
      <c r="X6" s="142" t="s">
        <v>846</v>
      </c>
      <c r="Y6" s="142" t="s">
        <v>847</v>
      </c>
      <c r="Z6" s="142" t="s">
        <v>847</v>
      </c>
      <c r="AA6" s="142" t="s">
        <v>848</v>
      </c>
      <c r="AB6" s="142" t="s">
        <v>848</v>
      </c>
      <c r="AC6" s="142" t="s">
        <v>849</v>
      </c>
      <c r="AD6" s="142" t="s">
        <v>849</v>
      </c>
      <c r="AE6" s="138"/>
      <c r="AF6" s="142" t="s">
        <v>850</v>
      </c>
      <c r="AG6" s="142" t="s">
        <v>850</v>
      </c>
      <c r="AH6" s="142" t="s">
        <v>851</v>
      </c>
      <c r="AI6" s="142" t="s">
        <v>851</v>
      </c>
      <c r="AJ6" s="139" t="s">
        <v>852</v>
      </c>
      <c r="AK6" s="139" t="s">
        <v>852</v>
      </c>
      <c r="AL6" s="139" t="s">
        <v>853</v>
      </c>
      <c r="AM6" s="139" t="s">
        <v>853</v>
      </c>
      <c r="AN6" s="139" t="s">
        <v>854</v>
      </c>
      <c r="AO6" s="139" t="s">
        <v>854</v>
      </c>
      <c r="AP6" s="139" t="s">
        <v>854</v>
      </c>
      <c r="AQ6" s="139" t="s">
        <v>854</v>
      </c>
      <c r="AR6" s="139" t="s">
        <v>855</v>
      </c>
      <c r="AS6" s="139" t="s">
        <v>855</v>
      </c>
      <c r="AT6" s="139" t="s">
        <v>856</v>
      </c>
      <c r="AU6" s="139" t="s">
        <v>856</v>
      </c>
      <c r="AV6" s="139" t="s">
        <v>857</v>
      </c>
      <c r="AW6" s="139" t="s">
        <v>857</v>
      </c>
      <c r="AX6" s="139" t="s">
        <v>858</v>
      </c>
      <c r="AY6" s="139" t="s">
        <v>858</v>
      </c>
      <c r="AZ6" s="137"/>
      <c r="BA6" s="139" t="s">
        <v>859</v>
      </c>
      <c r="BB6" s="139" t="s">
        <v>859</v>
      </c>
      <c r="BC6" s="139" t="s">
        <v>860</v>
      </c>
      <c r="BD6" s="139" t="s">
        <v>860</v>
      </c>
      <c r="BE6" s="139" t="s">
        <v>861</v>
      </c>
      <c r="BF6" s="139" t="s">
        <v>861</v>
      </c>
      <c r="BG6" s="139" t="s">
        <v>862</v>
      </c>
      <c r="BH6" s="139" t="s">
        <v>862</v>
      </c>
      <c r="BI6" s="139" t="s">
        <v>863</v>
      </c>
      <c r="BJ6" s="139" t="s">
        <v>863</v>
      </c>
      <c r="BK6" s="139" t="s">
        <v>864</v>
      </c>
      <c r="BL6" s="139" t="s">
        <v>864</v>
      </c>
      <c r="BM6" s="139" t="s">
        <v>865</v>
      </c>
      <c r="BN6" s="139" t="s">
        <v>865</v>
      </c>
      <c r="BO6" s="139" t="s">
        <v>866</v>
      </c>
      <c r="BP6" s="139" t="s">
        <v>866</v>
      </c>
      <c r="BQ6" s="139" t="s">
        <v>867</v>
      </c>
      <c r="BR6" s="139" t="s">
        <v>867</v>
      </c>
      <c r="BS6" s="139" t="s">
        <v>868</v>
      </c>
      <c r="BT6" s="139" t="s">
        <v>868</v>
      </c>
      <c r="BU6" s="139"/>
    </row>
    <row r="7">
      <c r="A7" s="139"/>
      <c r="B7" s="139" t="s">
        <v>869</v>
      </c>
      <c r="C7" s="139" t="s">
        <v>869</v>
      </c>
      <c r="D7" s="139" t="s">
        <v>870</v>
      </c>
      <c r="E7" s="139" t="s">
        <v>870</v>
      </c>
      <c r="F7" s="139" t="s">
        <v>871</v>
      </c>
      <c r="G7" s="139" t="s">
        <v>871</v>
      </c>
      <c r="H7" s="139" t="s">
        <v>872</v>
      </c>
      <c r="I7" s="139" t="s">
        <v>872</v>
      </c>
      <c r="J7" s="139" t="s">
        <v>873</v>
      </c>
      <c r="K7" s="139" t="s">
        <v>873</v>
      </c>
      <c r="L7" s="139" t="s">
        <v>874</v>
      </c>
      <c r="M7" s="139" t="s">
        <v>874</v>
      </c>
      <c r="N7" s="139" t="s">
        <v>875</v>
      </c>
      <c r="O7" s="139" t="s">
        <v>875</v>
      </c>
      <c r="P7" s="139" t="s">
        <v>876</v>
      </c>
      <c r="Q7" s="139" t="s">
        <v>876</v>
      </c>
      <c r="R7" s="137"/>
      <c r="S7" s="142" t="s">
        <v>877</v>
      </c>
      <c r="T7" s="142" t="s">
        <v>877</v>
      </c>
      <c r="U7" s="142" t="s">
        <v>878</v>
      </c>
      <c r="V7" s="142" t="s">
        <v>878</v>
      </c>
      <c r="W7" s="142" t="s">
        <v>879</v>
      </c>
      <c r="X7" s="142" t="s">
        <v>879</v>
      </c>
      <c r="Y7" s="142" t="s">
        <v>880</v>
      </c>
      <c r="Z7" s="142" t="s">
        <v>880</v>
      </c>
      <c r="AA7" s="142" t="s">
        <v>881</v>
      </c>
      <c r="AB7" s="142" t="s">
        <v>881</v>
      </c>
      <c r="AC7" s="142" t="s">
        <v>882</v>
      </c>
      <c r="AD7" s="142" t="s">
        <v>882</v>
      </c>
      <c r="AE7" s="138"/>
      <c r="AF7" s="142" t="s">
        <v>883</v>
      </c>
      <c r="AG7" s="142" t="s">
        <v>883</v>
      </c>
      <c r="AH7" s="142" t="s">
        <v>884</v>
      </c>
      <c r="AI7" s="142" t="s">
        <v>884</v>
      </c>
      <c r="AJ7" s="139" t="s">
        <v>885</v>
      </c>
      <c r="AK7" s="139" t="s">
        <v>885</v>
      </c>
      <c r="AL7" s="139" t="s">
        <v>886</v>
      </c>
      <c r="AM7" s="139" t="s">
        <v>886</v>
      </c>
      <c r="AN7" s="139" t="s">
        <v>887</v>
      </c>
      <c r="AO7" s="139" t="s">
        <v>887</v>
      </c>
      <c r="AP7" s="139" t="s">
        <v>888</v>
      </c>
      <c r="AQ7" s="139" t="s">
        <v>888</v>
      </c>
      <c r="AR7" s="139" t="s">
        <v>889</v>
      </c>
      <c r="AS7" s="139" t="s">
        <v>889</v>
      </c>
      <c r="AT7" s="139" t="s">
        <v>890</v>
      </c>
      <c r="AU7" s="139" t="s">
        <v>890</v>
      </c>
      <c r="AV7" s="139" t="s">
        <v>891</v>
      </c>
      <c r="AW7" s="139" t="s">
        <v>891</v>
      </c>
      <c r="AX7" s="139" t="s">
        <v>892</v>
      </c>
      <c r="AY7" s="139" t="s">
        <v>892</v>
      </c>
      <c r="AZ7" s="137"/>
      <c r="BA7" s="139"/>
      <c r="BB7" s="139"/>
      <c r="BC7" s="139"/>
      <c r="BD7" s="139"/>
      <c r="BE7" s="139"/>
      <c r="BF7" s="139"/>
      <c r="BG7" s="139"/>
      <c r="BH7" s="139"/>
      <c r="BI7" s="139"/>
      <c r="BJ7" s="139"/>
      <c r="BK7" s="139"/>
      <c r="BL7" s="139"/>
      <c r="BM7" s="139" t="s">
        <v>893</v>
      </c>
      <c r="BN7" s="139" t="s">
        <v>893</v>
      </c>
      <c r="BO7" s="139" t="s">
        <v>894</v>
      </c>
      <c r="BP7" s="139" t="s">
        <v>894</v>
      </c>
      <c r="BQ7" s="139" t="s">
        <v>895</v>
      </c>
      <c r="BR7" s="139" t="s">
        <v>895</v>
      </c>
      <c r="BS7" s="139" t="s">
        <v>896</v>
      </c>
      <c r="BT7" s="139" t="s">
        <v>896</v>
      </c>
      <c r="BU7" s="139"/>
    </row>
    <row r="8">
      <c r="A8" s="61"/>
      <c r="B8" s="61"/>
      <c r="C8" s="61"/>
      <c r="D8" s="61"/>
      <c r="E8" s="61"/>
      <c r="F8" s="61"/>
      <c r="G8" s="61"/>
      <c r="H8" s="61"/>
      <c r="I8" s="61"/>
      <c r="J8" s="61"/>
      <c r="K8" s="61"/>
      <c r="L8" s="61"/>
      <c r="M8" s="61"/>
      <c r="N8" s="61"/>
      <c r="O8" s="61"/>
      <c r="P8" s="61"/>
      <c r="Q8" s="61"/>
      <c r="R8" s="134"/>
      <c r="S8" s="143"/>
      <c r="T8" s="143"/>
      <c r="U8" s="143"/>
      <c r="V8" s="143"/>
      <c r="W8" s="143"/>
      <c r="X8" s="143"/>
      <c r="Y8" s="143"/>
      <c r="Z8" s="143"/>
      <c r="AA8" s="143"/>
      <c r="AB8" s="143"/>
      <c r="AC8" s="143"/>
      <c r="AD8" s="143"/>
      <c r="AE8" s="144"/>
      <c r="AF8" s="142" t="s">
        <v>897</v>
      </c>
      <c r="AG8" s="142" t="s">
        <v>897</v>
      </c>
      <c r="AH8" s="142" t="s">
        <v>898</v>
      </c>
      <c r="AI8" s="142" t="s">
        <v>898</v>
      </c>
      <c r="AJ8" s="61"/>
      <c r="AK8" s="61"/>
      <c r="AL8" s="61"/>
      <c r="AM8" s="61"/>
      <c r="AN8" s="61"/>
      <c r="AO8" s="61"/>
      <c r="AP8" s="61"/>
      <c r="AQ8" s="61"/>
      <c r="AR8" s="139" t="s">
        <v>899</v>
      </c>
      <c r="AS8" s="139" t="s">
        <v>899</v>
      </c>
      <c r="AT8" s="139" t="s">
        <v>899</v>
      </c>
      <c r="AU8" s="139" t="s">
        <v>899</v>
      </c>
      <c r="AV8" s="61"/>
      <c r="AW8" s="61"/>
      <c r="AX8" s="61"/>
      <c r="AY8" s="61"/>
      <c r="AZ8" s="134"/>
      <c r="BA8" s="61"/>
      <c r="BB8" s="61"/>
      <c r="BC8" s="61"/>
      <c r="BD8" s="61"/>
      <c r="BE8" s="61"/>
      <c r="BF8" s="61"/>
      <c r="BG8" s="61"/>
      <c r="BH8" s="61"/>
      <c r="BI8" s="61"/>
      <c r="BJ8" s="61"/>
      <c r="BK8" s="61"/>
      <c r="BL8" s="61"/>
      <c r="BM8" s="139" t="s">
        <v>900</v>
      </c>
      <c r="BN8" s="139" t="s">
        <v>900</v>
      </c>
      <c r="BO8" s="139" t="s">
        <v>901</v>
      </c>
      <c r="BP8" s="139" t="s">
        <v>901</v>
      </c>
      <c r="BQ8" s="139" t="s">
        <v>902</v>
      </c>
      <c r="BR8" s="139" t="s">
        <v>902</v>
      </c>
      <c r="BS8" s="139" t="s">
        <v>903</v>
      </c>
      <c r="BT8" s="139" t="s">
        <v>903</v>
      </c>
      <c r="BU8" s="61"/>
    </row>
    <row r="9" ht="54.75" customHeight="1">
      <c r="A9" s="61"/>
      <c r="B9" s="61"/>
      <c r="C9" s="61"/>
      <c r="D9" s="61"/>
      <c r="E9" s="61"/>
      <c r="F9" s="61"/>
      <c r="G9" s="61"/>
      <c r="H9" s="61"/>
      <c r="I9" s="61"/>
      <c r="J9" s="61"/>
      <c r="K9" s="61"/>
      <c r="L9" s="61"/>
      <c r="M9" s="61"/>
      <c r="N9" s="61"/>
      <c r="O9" s="61"/>
      <c r="P9" s="61"/>
      <c r="Q9" s="61"/>
      <c r="R9" s="134"/>
      <c r="S9" s="61"/>
      <c r="T9" s="61"/>
      <c r="U9" s="61"/>
      <c r="V9" s="61"/>
      <c r="W9" s="145"/>
      <c r="X9" s="145"/>
      <c r="Y9" s="145"/>
      <c r="Z9" s="145"/>
      <c r="AA9" s="61"/>
      <c r="AB9" s="61"/>
      <c r="AC9" s="61"/>
      <c r="AD9" s="61"/>
      <c r="AE9" s="144"/>
      <c r="AF9" s="61"/>
      <c r="AG9" s="61"/>
      <c r="AH9" s="61"/>
      <c r="AI9" s="61"/>
      <c r="AJ9" s="61"/>
      <c r="AK9" s="61"/>
      <c r="AL9" s="61"/>
      <c r="AM9" s="61"/>
      <c r="AN9" s="61"/>
      <c r="AO9" s="61"/>
      <c r="AP9" s="61"/>
      <c r="AQ9" s="61"/>
      <c r="AR9" s="139" t="s">
        <v>904</v>
      </c>
      <c r="AS9" s="139" t="s">
        <v>904</v>
      </c>
      <c r="AT9" s="139" t="s">
        <v>904</v>
      </c>
      <c r="AU9" s="139" t="s">
        <v>904</v>
      </c>
      <c r="AV9" s="61"/>
      <c r="AW9" s="61"/>
      <c r="AX9" s="61"/>
      <c r="AY9" s="61"/>
      <c r="AZ9" s="134"/>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4"/>
      <c r="S10" s="61"/>
      <c r="T10" s="61"/>
      <c r="U10" s="61"/>
      <c r="V10" s="61"/>
      <c r="W10" s="145"/>
      <c r="X10" s="145"/>
      <c r="Y10" s="145"/>
      <c r="Z10" s="145"/>
      <c r="AA10" s="61"/>
      <c r="AB10" s="61"/>
      <c r="AC10" s="61"/>
      <c r="AD10" s="61"/>
      <c r="AE10" s="144"/>
      <c r="AF10" s="61"/>
      <c r="AG10" s="61"/>
      <c r="AH10" s="61"/>
      <c r="AI10" s="61"/>
      <c r="AJ10" s="61"/>
      <c r="AK10" s="61"/>
      <c r="AL10" s="61"/>
      <c r="AM10" s="61"/>
      <c r="AN10" s="61"/>
      <c r="AO10" s="61"/>
      <c r="AP10" s="61"/>
      <c r="AQ10" s="61"/>
      <c r="AR10" s="139" t="s">
        <v>905</v>
      </c>
      <c r="AS10" s="139" t="s">
        <v>905</v>
      </c>
      <c r="AT10" s="139" t="s">
        <v>906</v>
      </c>
      <c r="AU10" s="139" t="s">
        <v>906</v>
      </c>
      <c r="AV10" s="61"/>
      <c r="AW10" s="61"/>
      <c r="AX10" s="61"/>
      <c r="AY10" s="61"/>
      <c r="AZ10" s="134"/>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4"/>
      <c r="S11" s="61"/>
      <c r="T11" s="61"/>
      <c r="U11" s="61"/>
      <c r="V11" s="61"/>
      <c r="W11" s="61"/>
      <c r="X11" s="61"/>
      <c r="Y11" s="61"/>
      <c r="Z11" s="61"/>
      <c r="AA11" s="61"/>
      <c r="AB11" s="61"/>
      <c r="AC11" s="61"/>
      <c r="AD11" s="61"/>
      <c r="AE11" s="144"/>
      <c r="AF11" s="61"/>
      <c r="AG11" s="61"/>
      <c r="AH11" s="61"/>
      <c r="AI11" s="61"/>
      <c r="AJ11" s="61"/>
      <c r="AK11" s="61"/>
      <c r="AL11" s="61"/>
      <c r="AM11" s="61"/>
      <c r="AN11" s="61"/>
      <c r="AO11" s="61"/>
      <c r="AP11" s="61"/>
      <c r="AQ11" s="61"/>
      <c r="AR11" s="61"/>
      <c r="AS11" s="61"/>
      <c r="AT11" s="61"/>
      <c r="AU11" s="61"/>
      <c r="AV11" s="61"/>
      <c r="AW11" s="61"/>
      <c r="AX11" s="61"/>
      <c r="AY11" s="61"/>
      <c r="AZ11" s="134"/>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4"/>
      <c r="S12" s="61"/>
      <c r="T12" s="61"/>
      <c r="U12" s="61"/>
      <c r="V12" s="61"/>
      <c r="W12" s="61"/>
      <c r="X12" s="61"/>
      <c r="Y12" s="61"/>
      <c r="Z12" s="61"/>
      <c r="AA12" s="61"/>
      <c r="AB12" s="61"/>
      <c r="AC12" s="61"/>
      <c r="AD12" s="61"/>
      <c r="AE12" s="144"/>
      <c r="AF12" s="61"/>
      <c r="AG12" s="61"/>
      <c r="AH12" s="61"/>
      <c r="AI12" s="61"/>
      <c r="AJ12" s="61"/>
      <c r="AK12" s="61"/>
      <c r="AL12" s="61"/>
      <c r="AM12" s="61"/>
      <c r="AN12" s="61"/>
      <c r="AO12" s="61"/>
      <c r="AP12" s="61"/>
      <c r="AQ12" s="61"/>
      <c r="AR12" s="61"/>
      <c r="AS12" s="61"/>
      <c r="AT12" s="61"/>
      <c r="AU12" s="61"/>
      <c r="AV12" s="61"/>
      <c r="AW12" s="61"/>
      <c r="AX12" s="61"/>
      <c r="AY12" s="61"/>
      <c r="AZ12" s="134"/>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4"/>
      <c r="S13" s="61"/>
      <c r="T13" s="61"/>
      <c r="U13" s="61"/>
      <c r="V13" s="61"/>
      <c r="W13" s="61"/>
      <c r="X13" s="61"/>
      <c r="Y13" s="61"/>
      <c r="Z13" s="61"/>
      <c r="AA13" s="61"/>
      <c r="AB13" s="61"/>
      <c r="AC13" s="61"/>
      <c r="AD13" s="61"/>
      <c r="AE13" s="144"/>
      <c r="AF13" s="61"/>
      <c r="AG13" s="61"/>
      <c r="AH13" s="61"/>
      <c r="AI13" s="61"/>
      <c r="AJ13" s="61"/>
      <c r="AK13" s="61"/>
      <c r="AL13" s="61"/>
      <c r="AM13" s="61"/>
      <c r="AN13" s="61"/>
      <c r="AO13" s="61"/>
      <c r="AP13" s="61"/>
      <c r="AQ13" s="61"/>
      <c r="AR13" s="61"/>
      <c r="AS13" s="61"/>
      <c r="AT13" s="61"/>
      <c r="AU13" s="61"/>
      <c r="AV13" s="61"/>
      <c r="AW13" s="61"/>
      <c r="AX13" s="61"/>
      <c r="AY13" s="61"/>
      <c r="AZ13" s="134"/>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4"/>
      <c r="S14" s="61"/>
      <c r="T14" s="61"/>
      <c r="U14" s="61"/>
      <c r="V14" s="61"/>
      <c r="W14" s="61"/>
      <c r="X14" s="61"/>
      <c r="Y14" s="61"/>
      <c r="Z14" s="61"/>
      <c r="AA14" s="61"/>
      <c r="AB14" s="61"/>
      <c r="AC14" s="61"/>
      <c r="AD14" s="61"/>
      <c r="AE14" s="144"/>
      <c r="AF14" s="61"/>
      <c r="AG14" s="61"/>
      <c r="AH14" s="61"/>
      <c r="AI14" s="61"/>
      <c r="AJ14" s="61"/>
      <c r="AK14" s="61"/>
      <c r="AL14" s="61"/>
      <c r="AM14" s="61"/>
      <c r="AN14" s="61"/>
      <c r="AO14" s="61"/>
      <c r="AP14" s="61"/>
      <c r="AQ14" s="61"/>
      <c r="AR14" s="61"/>
      <c r="AS14" s="61"/>
      <c r="AT14" s="61"/>
      <c r="AU14" s="61"/>
      <c r="AV14" s="61"/>
      <c r="AW14" s="61"/>
      <c r="AX14" s="61"/>
      <c r="AY14" s="61"/>
      <c r="AZ14" s="134"/>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4"/>
      <c r="S15" s="61"/>
      <c r="T15" s="61"/>
      <c r="U15" s="61"/>
      <c r="V15" s="61"/>
      <c r="W15" s="61"/>
      <c r="X15" s="61"/>
      <c r="Y15" s="61"/>
      <c r="Z15" s="61"/>
      <c r="AA15" s="61"/>
      <c r="AB15" s="61"/>
      <c r="AC15" s="61"/>
      <c r="AD15" s="61"/>
      <c r="AE15" s="144"/>
      <c r="AF15" s="61"/>
      <c r="AG15" s="61"/>
      <c r="AH15" s="61"/>
      <c r="AI15" s="61"/>
      <c r="AJ15" s="61"/>
      <c r="AK15" s="61"/>
      <c r="AL15" s="61"/>
      <c r="AM15" s="61"/>
      <c r="AN15" s="61"/>
      <c r="AO15" s="61"/>
      <c r="AP15" s="61"/>
      <c r="AQ15" s="61"/>
      <c r="AR15" s="61"/>
      <c r="AS15" s="61"/>
      <c r="AT15" s="61"/>
      <c r="AU15" s="61"/>
      <c r="AV15" s="61"/>
      <c r="AW15" s="61"/>
      <c r="AX15" s="61"/>
      <c r="AY15" s="61"/>
      <c r="AZ15" s="134"/>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4"/>
      <c r="S16" s="61"/>
      <c r="T16" s="61"/>
      <c r="U16" s="61"/>
      <c r="V16" s="61"/>
      <c r="W16" s="61"/>
      <c r="X16" s="61"/>
      <c r="Y16" s="61"/>
      <c r="Z16" s="61"/>
      <c r="AA16" s="61"/>
      <c r="AB16" s="61"/>
      <c r="AC16" s="61"/>
      <c r="AD16" s="61"/>
      <c r="AE16" s="144"/>
      <c r="AF16" s="61"/>
      <c r="AG16" s="61"/>
      <c r="AH16" s="61"/>
      <c r="AI16" s="61"/>
      <c r="AJ16" s="61"/>
      <c r="AK16" s="61"/>
      <c r="AL16" s="61"/>
      <c r="AM16" s="61"/>
      <c r="AN16" s="61"/>
      <c r="AO16" s="61"/>
      <c r="AP16" s="61"/>
      <c r="AQ16" s="61"/>
      <c r="AR16" s="61"/>
      <c r="AS16" s="61"/>
      <c r="AT16" s="61"/>
      <c r="AU16" s="61"/>
      <c r="AV16" s="61"/>
      <c r="AW16" s="61"/>
      <c r="AX16" s="61"/>
      <c r="AY16" s="61"/>
      <c r="AZ16" s="134"/>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4"/>
      <c r="S17" s="61"/>
      <c r="T17" s="61"/>
      <c r="U17" s="61"/>
      <c r="V17" s="61"/>
      <c r="W17" s="61"/>
      <c r="X17" s="61"/>
      <c r="Y17" s="61"/>
      <c r="Z17" s="61"/>
      <c r="AA17" s="61"/>
      <c r="AB17" s="61"/>
      <c r="AC17" s="61"/>
      <c r="AD17" s="61"/>
      <c r="AE17" s="144"/>
      <c r="AF17" s="61"/>
      <c r="AG17" s="61"/>
      <c r="AH17" s="61"/>
      <c r="AI17" s="61"/>
      <c r="AJ17" s="61"/>
      <c r="AK17" s="61"/>
      <c r="AL17" s="61"/>
      <c r="AM17" s="61"/>
      <c r="AN17" s="61"/>
      <c r="AO17" s="61"/>
      <c r="AP17" s="61"/>
      <c r="AQ17" s="61"/>
      <c r="AR17" s="61"/>
      <c r="AS17" s="61"/>
      <c r="AT17" s="61"/>
      <c r="AU17" s="61"/>
      <c r="AV17" s="61"/>
      <c r="AW17" s="61"/>
      <c r="AX17" s="61"/>
      <c r="AY17" s="61"/>
      <c r="AZ17" s="134"/>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4"/>
      <c r="S18" s="61"/>
      <c r="T18" s="61"/>
      <c r="U18" s="61"/>
      <c r="V18" s="61"/>
      <c r="W18" s="61"/>
      <c r="X18" s="61"/>
      <c r="Y18" s="61"/>
      <c r="Z18" s="61"/>
      <c r="AA18" s="61"/>
      <c r="AB18" s="61"/>
      <c r="AC18" s="61"/>
      <c r="AD18" s="61"/>
      <c r="AE18" s="144"/>
      <c r="AF18" s="61"/>
      <c r="AG18" s="61"/>
      <c r="AH18" s="61"/>
      <c r="AI18" s="61"/>
      <c r="AJ18" s="61"/>
      <c r="AK18" s="61"/>
      <c r="AL18" s="61"/>
      <c r="AM18" s="61"/>
      <c r="AN18" s="61"/>
      <c r="AO18" s="61"/>
      <c r="AP18" s="61"/>
      <c r="AQ18" s="61"/>
      <c r="AR18" s="61"/>
      <c r="AS18" s="61"/>
      <c r="AT18" s="61"/>
      <c r="AU18" s="61"/>
      <c r="AV18" s="61"/>
      <c r="AW18" s="61"/>
      <c r="AX18" s="61"/>
      <c r="AY18" s="61"/>
      <c r="AZ18" s="134"/>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4"/>
      <c r="S19" s="61"/>
      <c r="T19" s="61"/>
      <c r="U19" s="61"/>
      <c r="V19" s="61"/>
      <c r="W19" s="61"/>
      <c r="X19" s="61"/>
      <c r="Y19" s="61"/>
      <c r="Z19" s="61"/>
      <c r="AA19" s="61"/>
      <c r="AB19" s="61"/>
      <c r="AC19" s="61"/>
      <c r="AD19" s="61"/>
      <c r="AE19" s="144"/>
      <c r="AF19" s="61"/>
      <c r="AG19" s="61"/>
      <c r="AH19" s="61"/>
      <c r="AI19" s="61"/>
      <c r="AJ19" s="61"/>
      <c r="AK19" s="61"/>
      <c r="AL19" s="61"/>
      <c r="AM19" s="61"/>
      <c r="AN19" s="61"/>
      <c r="AO19" s="61"/>
      <c r="AP19" s="61"/>
      <c r="AQ19" s="61"/>
      <c r="AR19" s="61"/>
      <c r="AS19" s="61"/>
      <c r="AT19" s="61"/>
      <c r="AU19" s="61"/>
      <c r="AV19" s="61"/>
      <c r="AW19" s="61"/>
      <c r="AX19" s="61"/>
      <c r="AY19" s="61"/>
      <c r="AZ19" s="134"/>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4"/>
      <c r="S20" s="61"/>
      <c r="T20" s="61"/>
      <c r="U20" s="61"/>
      <c r="V20" s="61"/>
      <c r="W20" s="61"/>
      <c r="X20" s="61"/>
      <c r="Y20" s="61"/>
      <c r="Z20" s="61"/>
      <c r="AA20" s="61"/>
      <c r="AB20" s="61"/>
      <c r="AC20" s="61"/>
      <c r="AD20" s="61"/>
      <c r="AE20" s="144"/>
      <c r="AF20" s="61"/>
      <c r="AG20" s="61"/>
      <c r="AH20" s="61"/>
      <c r="AI20" s="61"/>
      <c r="AJ20" s="61"/>
      <c r="AK20" s="61"/>
      <c r="AL20" s="61"/>
      <c r="AM20" s="61"/>
      <c r="AN20" s="61"/>
      <c r="AO20" s="61"/>
      <c r="AP20" s="61"/>
      <c r="AQ20" s="61"/>
      <c r="AR20" s="61"/>
      <c r="AS20" s="61"/>
      <c r="AT20" s="61"/>
      <c r="AU20" s="61"/>
      <c r="AV20" s="61"/>
      <c r="AW20" s="61"/>
      <c r="AX20" s="61"/>
      <c r="AY20" s="61"/>
      <c r="AZ20" s="134"/>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4"/>
      <c r="S21" s="61"/>
      <c r="T21" s="61"/>
      <c r="U21" s="61"/>
      <c r="V21" s="61"/>
      <c r="W21" s="61"/>
      <c r="X21" s="61"/>
      <c r="Y21" s="61"/>
      <c r="Z21" s="61"/>
      <c r="AA21" s="61"/>
      <c r="AB21" s="61"/>
      <c r="AC21" s="61"/>
      <c r="AD21" s="61"/>
      <c r="AE21" s="144"/>
      <c r="AF21" s="61"/>
      <c r="AG21" s="61"/>
      <c r="AH21" s="61"/>
      <c r="AI21" s="61"/>
      <c r="AJ21" s="61"/>
      <c r="AK21" s="61"/>
      <c r="AL21" s="61"/>
      <c r="AM21" s="61"/>
      <c r="AN21" s="61"/>
      <c r="AO21" s="61"/>
      <c r="AP21" s="61"/>
      <c r="AQ21" s="61"/>
      <c r="AR21" s="61"/>
      <c r="AS21" s="61"/>
      <c r="AT21" s="61"/>
      <c r="AU21" s="61"/>
      <c r="AV21" s="61"/>
      <c r="AW21" s="61"/>
      <c r="AX21" s="61"/>
      <c r="AY21" s="61"/>
      <c r="AZ21" s="134"/>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4"/>
      <c r="S22" s="61"/>
      <c r="T22" s="61"/>
      <c r="U22" s="61"/>
      <c r="V22" s="61"/>
      <c r="W22" s="61"/>
      <c r="X22" s="61"/>
      <c r="Y22" s="61"/>
      <c r="Z22" s="61"/>
      <c r="AA22" s="61"/>
      <c r="AB22" s="61"/>
      <c r="AC22" s="61"/>
      <c r="AD22" s="61"/>
      <c r="AE22" s="144"/>
      <c r="AF22" s="61"/>
      <c r="AG22" s="61"/>
      <c r="AH22" s="61"/>
      <c r="AI22" s="61"/>
      <c r="AJ22" s="61"/>
      <c r="AK22" s="61"/>
      <c r="AL22" s="61"/>
      <c r="AM22" s="61"/>
      <c r="AN22" s="61"/>
      <c r="AO22" s="61"/>
      <c r="AP22" s="61"/>
      <c r="AQ22" s="61"/>
      <c r="AR22" s="61"/>
      <c r="AS22" s="61"/>
      <c r="AT22" s="61"/>
      <c r="AU22" s="61"/>
      <c r="AV22" s="61"/>
      <c r="AW22" s="61"/>
      <c r="AX22" s="61"/>
      <c r="AY22" s="61"/>
      <c r="AZ22" s="134"/>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4"/>
      <c r="S23" s="61"/>
      <c r="T23" s="61"/>
      <c r="U23" s="61"/>
      <c r="V23" s="61"/>
      <c r="W23" s="61"/>
      <c r="X23" s="61"/>
      <c r="Y23" s="61"/>
      <c r="Z23" s="61"/>
      <c r="AA23" s="61"/>
      <c r="AB23" s="61"/>
      <c r="AC23" s="61"/>
      <c r="AD23" s="61"/>
      <c r="AE23" s="144"/>
      <c r="AF23" s="61"/>
      <c r="AG23" s="61"/>
      <c r="AH23" s="61"/>
      <c r="AI23" s="61"/>
      <c r="AJ23" s="61"/>
      <c r="AK23" s="61"/>
      <c r="AL23" s="61"/>
      <c r="AM23" s="61"/>
      <c r="AN23" s="61"/>
      <c r="AO23" s="61"/>
      <c r="AP23" s="61"/>
      <c r="AQ23" s="61"/>
      <c r="AR23" s="61"/>
      <c r="AS23" s="61"/>
      <c r="AT23" s="61"/>
      <c r="AU23" s="61"/>
      <c r="AV23" s="61"/>
      <c r="AW23" s="61"/>
      <c r="AX23" s="61"/>
      <c r="AY23" s="61"/>
      <c r="AZ23" s="134"/>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4"/>
      <c r="S24" s="61"/>
      <c r="T24" s="61"/>
      <c r="U24" s="61"/>
      <c r="V24" s="61"/>
      <c r="W24" s="61"/>
      <c r="X24" s="61"/>
      <c r="Y24" s="61"/>
      <c r="Z24" s="61"/>
      <c r="AA24" s="61"/>
      <c r="AB24" s="61"/>
      <c r="AC24" s="61"/>
      <c r="AD24" s="61"/>
      <c r="AE24" s="144"/>
      <c r="AF24" s="61"/>
      <c r="AG24" s="61"/>
      <c r="AH24" s="61"/>
      <c r="AI24" s="61"/>
      <c r="AJ24" s="61"/>
      <c r="AK24" s="61"/>
      <c r="AL24" s="61"/>
      <c r="AM24" s="61"/>
      <c r="AN24" s="61"/>
      <c r="AO24" s="61"/>
      <c r="AP24" s="61"/>
      <c r="AQ24" s="61"/>
      <c r="AR24" s="61"/>
      <c r="AS24" s="61"/>
      <c r="AT24" s="61"/>
      <c r="AU24" s="61"/>
      <c r="AV24" s="61"/>
      <c r="AW24" s="61"/>
      <c r="AX24" s="61"/>
      <c r="AY24" s="61"/>
      <c r="AZ24" s="134"/>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4"/>
      <c r="S25" s="61"/>
      <c r="T25" s="61"/>
      <c r="U25" s="61"/>
      <c r="V25" s="61"/>
      <c r="W25" s="61"/>
      <c r="X25" s="61"/>
      <c r="Y25" s="61"/>
      <c r="Z25" s="61"/>
      <c r="AA25" s="61"/>
      <c r="AB25" s="61"/>
      <c r="AC25" s="61"/>
      <c r="AD25" s="61"/>
      <c r="AE25" s="144"/>
      <c r="AF25" s="61"/>
      <c r="AG25" s="61"/>
      <c r="AH25" s="61"/>
      <c r="AI25" s="61"/>
      <c r="AJ25" s="61"/>
      <c r="AK25" s="61"/>
      <c r="AL25" s="61"/>
      <c r="AM25" s="61"/>
      <c r="AN25" s="61"/>
      <c r="AO25" s="61"/>
      <c r="AP25" s="61"/>
      <c r="AQ25" s="61"/>
      <c r="AR25" s="61"/>
      <c r="AS25" s="61"/>
      <c r="AT25" s="61"/>
      <c r="AU25" s="61"/>
      <c r="AV25" s="61"/>
      <c r="AW25" s="61"/>
      <c r="AX25" s="61"/>
      <c r="AY25" s="61"/>
      <c r="AZ25" s="134"/>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4"/>
      <c r="S26" s="61"/>
      <c r="T26" s="61"/>
      <c r="U26" s="61"/>
      <c r="V26" s="61"/>
      <c r="W26" s="61"/>
      <c r="X26" s="61"/>
      <c r="Y26" s="61"/>
      <c r="Z26" s="61"/>
      <c r="AA26" s="61"/>
      <c r="AB26" s="61"/>
      <c r="AC26" s="61"/>
      <c r="AD26" s="61"/>
      <c r="AE26" s="144"/>
      <c r="AF26" s="61"/>
      <c r="AG26" s="61"/>
      <c r="AH26" s="61"/>
      <c r="AI26" s="61"/>
      <c r="AJ26" s="61"/>
      <c r="AK26" s="61"/>
      <c r="AL26" s="61"/>
      <c r="AM26" s="61"/>
      <c r="AN26" s="61"/>
      <c r="AO26" s="61"/>
      <c r="AP26" s="61"/>
      <c r="AQ26" s="61"/>
      <c r="AR26" s="61"/>
      <c r="AS26" s="61"/>
      <c r="AT26" s="61"/>
      <c r="AU26" s="61"/>
      <c r="AV26" s="61"/>
      <c r="AW26" s="61"/>
      <c r="AX26" s="61"/>
      <c r="AY26" s="61"/>
      <c r="AZ26" s="134"/>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4"/>
      <c r="S27" s="61"/>
      <c r="T27" s="61"/>
      <c r="U27" s="61"/>
      <c r="V27" s="61"/>
      <c r="W27" s="61"/>
      <c r="X27" s="61"/>
      <c r="Y27" s="61"/>
      <c r="Z27" s="61"/>
      <c r="AA27" s="61"/>
      <c r="AB27" s="61"/>
      <c r="AC27" s="61"/>
      <c r="AD27" s="61"/>
      <c r="AE27" s="144"/>
      <c r="AF27" s="61"/>
      <c r="AG27" s="61"/>
      <c r="AH27" s="61"/>
      <c r="AI27" s="61"/>
      <c r="AJ27" s="61"/>
      <c r="AK27" s="61"/>
      <c r="AL27" s="61"/>
      <c r="AM27" s="61"/>
      <c r="AN27" s="61"/>
      <c r="AO27" s="61"/>
      <c r="AP27" s="61"/>
      <c r="AQ27" s="61"/>
      <c r="AR27" s="61"/>
      <c r="AS27" s="61"/>
      <c r="AT27" s="61"/>
      <c r="AU27" s="61"/>
      <c r="AV27" s="61"/>
      <c r="AW27" s="61"/>
      <c r="AX27" s="61"/>
      <c r="AY27" s="61"/>
      <c r="AZ27" s="134"/>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4"/>
      <c r="S28" s="61"/>
      <c r="T28" s="61"/>
      <c r="U28" s="61"/>
      <c r="V28" s="61"/>
      <c r="W28" s="61"/>
      <c r="X28" s="61"/>
      <c r="Y28" s="61"/>
      <c r="Z28" s="61"/>
      <c r="AA28" s="61"/>
      <c r="AB28" s="61"/>
      <c r="AC28" s="61"/>
      <c r="AD28" s="61"/>
      <c r="AE28" s="144"/>
      <c r="AF28" s="61"/>
      <c r="AG28" s="61"/>
      <c r="AH28" s="61"/>
      <c r="AI28" s="61"/>
      <c r="AJ28" s="61"/>
      <c r="AK28" s="61"/>
      <c r="AL28" s="61"/>
      <c r="AM28" s="61"/>
      <c r="AN28" s="61"/>
      <c r="AO28" s="61"/>
      <c r="AP28" s="61"/>
      <c r="AQ28" s="61"/>
      <c r="AR28" s="61"/>
      <c r="AS28" s="61"/>
      <c r="AT28" s="61"/>
      <c r="AU28" s="61"/>
      <c r="AV28" s="61"/>
      <c r="AW28" s="61"/>
      <c r="AX28" s="61"/>
      <c r="AY28" s="61"/>
      <c r="AZ28" s="134"/>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4"/>
      <c r="S29" s="61"/>
      <c r="T29" s="61"/>
      <c r="U29" s="61"/>
      <c r="V29" s="61"/>
      <c r="W29" s="61"/>
      <c r="X29" s="61"/>
      <c r="Y29" s="61"/>
      <c r="Z29" s="61"/>
      <c r="AA29" s="61"/>
      <c r="AB29" s="61"/>
      <c r="AC29" s="61"/>
      <c r="AD29" s="61"/>
      <c r="AE29" s="144"/>
      <c r="AF29" s="61"/>
      <c r="AG29" s="61"/>
      <c r="AH29" s="61"/>
      <c r="AI29" s="61"/>
      <c r="AJ29" s="61"/>
      <c r="AK29" s="61"/>
      <c r="AL29" s="61"/>
      <c r="AM29" s="61"/>
      <c r="AN29" s="61"/>
      <c r="AO29" s="61"/>
      <c r="AP29" s="61"/>
      <c r="AQ29" s="61"/>
      <c r="AR29" s="61"/>
      <c r="AS29" s="61"/>
      <c r="AT29" s="61"/>
      <c r="AU29" s="61"/>
      <c r="AV29" s="61"/>
      <c r="AW29" s="61"/>
      <c r="AX29" s="61"/>
      <c r="AY29" s="61"/>
      <c r="AZ29" s="134"/>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4"/>
      <c r="S30" s="61"/>
      <c r="T30" s="61"/>
      <c r="U30" s="61"/>
      <c r="V30" s="61"/>
      <c r="W30" s="61"/>
      <c r="X30" s="61"/>
      <c r="Y30" s="61"/>
      <c r="Z30" s="61"/>
      <c r="AA30" s="61"/>
      <c r="AB30" s="61"/>
      <c r="AC30" s="61"/>
      <c r="AD30" s="61"/>
      <c r="AE30" s="144"/>
      <c r="AF30" s="61"/>
      <c r="AG30" s="61"/>
      <c r="AH30" s="61"/>
      <c r="AI30" s="61"/>
      <c r="AJ30" s="61"/>
      <c r="AK30" s="61"/>
      <c r="AL30" s="61"/>
      <c r="AM30" s="61"/>
      <c r="AN30" s="61"/>
      <c r="AO30" s="61"/>
      <c r="AP30" s="61"/>
      <c r="AQ30" s="61"/>
      <c r="AR30" s="61"/>
      <c r="AS30" s="61"/>
      <c r="AT30" s="61"/>
      <c r="AU30" s="61"/>
      <c r="AV30" s="61"/>
      <c r="AW30" s="61"/>
      <c r="AX30" s="61"/>
      <c r="AY30" s="61"/>
      <c r="AZ30" s="134"/>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4"/>
      <c r="S31" s="61"/>
      <c r="T31" s="61"/>
      <c r="U31" s="61"/>
      <c r="V31" s="61"/>
      <c r="W31" s="61"/>
      <c r="X31" s="61"/>
      <c r="Y31" s="61"/>
      <c r="Z31" s="61"/>
      <c r="AA31" s="61"/>
      <c r="AB31" s="61"/>
      <c r="AC31" s="61"/>
      <c r="AD31" s="61"/>
      <c r="AE31" s="144"/>
      <c r="AF31" s="61"/>
      <c r="AG31" s="61"/>
      <c r="AH31" s="61"/>
      <c r="AI31" s="61"/>
      <c r="AJ31" s="61"/>
      <c r="AK31" s="61"/>
      <c r="AL31" s="61"/>
      <c r="AM31" s="61"/>
      <c r="AN31" s="61"/>
      <c r="AO31" s="61"/>
      <c r="AP31" s="61"/>
      <c r="AQ31" s="61"/>
      <c r="AR31" s="61"/>
      <c r="AS31" s="61"/>
      <c r="AT31" s="61"/>
      <c r="AU31" s="61"/>
      <c r="AV31" s="61"/>
      <c r="AW31" s="61"/>
      <c r="AX31" s="61"/>
      <c r="AY31" s="61"/>
      <c r="AZ31" s="134"/>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4"/>
      <c r="S32" s="61"/>
      <c r="T32" s="61"/>
      <c r="U32" s="61"/>
      <c r="V32" s="61"/>
      <c r="W32" s="61"/>
      <c r="X32" s="61"/>
      <c r="Y32" s="61"/>
      <c r="Z32" s="61"/>
      <c r="AA32" s="61"/>
      <c r="AB32" s="61"/>
      <c r="AC32" s="61"/>
      <c r="AD32" s="61"/>
      <c r="AE32" s="144"/>
      <c r="AF32" s="61"/>
      <c r="AG32" s="61"/>
      <c r="AH32" s="61"/>
      <c r="AI32" s="61"/>
      <c r="AJ32" s="61"/>
      <c r="AK32" s="61"/>
      <c r="AL32" s="61"/>
      <c r="AM32" s="61"/>
      <c r="AN32" s="61"/>
      <c r="AO32" s="61"/>
      <c r="AP32" s="61"/>
      <c r="AQ32" s="61"/>
      <c r="AR32" s="61"/>
      <c r="AS32" s="61"/>
      <c r="AT32" s="61"/>
      <c r="AU32" s="61"/>
      <c r="AV32" s="61"/>
      <c r="AW32" s="61"/>
      <c r="AX32" s="61"/>
      <c r="AY32" s="61"/>
      <c r="AZ32" s="134"/>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4"/>
      <c r="S33" s="61"/>
      <c r="T33" s="61"/>
      <c r="U33" s="61"/>
      <c r="V33" s="61"/>
      <c r="W33" s="61"/>
      <c r="X33" s="61"/>
      <c r="Y33" s="61"/>
      <c r="Z33" s="61"/>
      <c r="AA33" s="61"/>
      <c r="AB33" s="61"/>
      <c r="AC33" s="61"/>
      <c r="AD33" s="61"/>
      <c r="AE33" s="144"/>
      <c r="AF33" s="61"/>
      <c r="AG33" s="61"/>
      <c r="AH33" s="61"/>
      <c r="AI33" s="61"/>
      <c r="AJ33" s="61"/>
      <c r="AK33" s="61"/>
      <c r="AL33" s="61"/>
      <c r="AM33" s="61"/>
      <c r="AN33" s="61"/>
      <c r="AO33" s="61"/>
      <c r="AP33" s="61"/>
      <c r="AQ33" s="61"/>
      <c r="AR33" s="61"/>
      <c r="AS33" s="61"/>
      <c r="AT33" s="61"/>
      <c r="AU33" s="61"/>
      <c r="AV33" s="61"/>
      <c r="AW33" s="61"/>
      <c r="AX33" s="61"/>
      <c r="AY33" s="61"/>
      <c r="AZ33" s="134"/>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4"/>
      <c r="S34" s="61"/>
      <c r="T34" s="61"/>
      <c r="U34" s="61"/>
      <c r="V34" s="61"/>
      <c r="W34" s="61"/>
      <c r="X34" s="61"/>
      <c r="Y34" s="61"/>
      <c r="Z34" s="61"/>
      <c r="AA34" s="61"/>
      <c r="AB34" s="61"/>
      <c r="AC34" s="61"/>
      <c r="AD34" s="61"/>
      <c r="AE34" s="144"/>
      <c r="AF34" s="61"/>
      <c r="AG34" s="61"/>
      <c r="AH34" s="61"/>
      <c r="AI34" s="61"/>
      <c r="AJ34" s="61"/>
      <c r="AK34" s="61"/>
      <c r="AL34" s="61"/>
      <c r="AM34" s="61"/>
      <c r="AN34" s="61"/>
      <c r="AO34" s="61"/>
      <c r="AP34" s="61"/>
      <c r="AQ34" s="61"/>
      <c r="AR34" s="61"/>
      <c r="AS34" s="61"/>
      <c r="AT34" s="61"/>
      <c r="AU34" s="61"/>
      <c r="AV34" s="61"/>
      <c r="AW34" s="61"/>
      <c r="AX34" s="61"/>
      <c r="AY34" s="61"/>
      <c r="AZ34" s="134"/>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4"/>
      <c r="S35" s="61"/>
      <c r="T35" s="61"/>
      <c r="U35" s="61"/>
      <c r="V35" s="61"/>
      <c r="W35" s="61"/>
      <c r="X35" s="61"/>
      <c r="Y35" s="61"/>
      <c r="Z35" s="61"/>
      <c r="AA35" s="61"/>
      <c r="AB35" s="61"/>
      <c r="AC35" s="61"/>
      <c r="AD35" s="61"/>
      <c r="AE35" s="144"/>
      <c r="AF35" s="61"/>
      <c r="AG35" s="61"/>
      <c r="AH35" s="61"/>
      <c r="AI35" s="61"/>
      <c r="AJ35" s="61"/>
      <c r="AK35" s="61"/>
      <c r="AL35" s="61"/>
      <c r="AM35" s="61"/>
      <c r="AN35" s="61"/>
      <c r="AO35" s="61"/>
      <c r="AP35" s="61"/>
      <c r="AQ35" s="61"/>
      <c r="AR35" s="61"/>
      <c r="AS35" s="61"/>
      <c r="AT35" s="61"/>
      <c r="AU35" s="61"/>
      <c r="AV35" s="61"/>
      <c r="AW35" s="61"/>
      <c r="AX35" s="61"/>
      <c r="AY35" s="61"/>
      <c r="AZ35" s="134"/>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4"/>
      <c r="S36" s="61"/>
      <c r="T36" s="61"/>
      <c r="U36" s="61"/>
      <c r="V36" s="61"/>
      <c r="W36" s="61"/>
      <c r="X36" s="61"/>
      <c r="Y36" s="61"/>
      <c r="Z36" s="61"/>
      <c r="AA36" s="61"/>
      <c r="AB36" s="61"/>
      <c r="AC36" s="61"/>
      <c r="AD36" s="61"/>
      <c r="AE36" s="144"/>
      <c r="AF36" s="61"/>
      <c r="AG36" s="61"/>
      <c r="AH36" s="61"/>
      <c r="AI36" s="61"/>
      <c r="AJ36" s="61"/>
      <c r="AK36" s="61"/>
      <c r="AL36" s="61"/>
      <c r="AM36" s="61"/>
      <c r="AN36" s="61"/>
      <c r="AO36" s="61"/>
      <c r="AP36" s="61"/>
      <c r="AQ36" s="61"/>
      <c r="AR36" s="61"/>
      <c r="AS36" s="61"/>
      <c r="AT36" s="61"/>
      <c r="AU36" s="61"/>
      <c r="AV36" s="61"/>
      <c r="AW36" s="61"/>
      <c r="AX36" s="61"/>
      <c r="AY36" s="61"/>
      <c r="AZ36" s="134"/>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4"/>
      <c r="S37" s="61"/>
      <c r="T37" s="61"/>
      <c r="U37" s="61"/>
      <c r="V37" s="61"/>
      <c r="W37" s="61"/>
      <c r="X37" s="61"/>
      <c r="Y37" s="61"/>
      <c r="Z37" s="61"/>
      <c r="AA37" s="61"/>
      <c r="AB37" s="61"/>
      <c r="AC37" s="61"/>
      <c r="AD37" s="61"/>
      <c r="AE37" s="144"/>
      <c r="AF37" s="61"/>
      <c r="AG37" s="61"/>
      <c r="AH37" s="61"/>
      <c r="AI37" s="61"/>
      <c r="AJ37" s="61"/>
      <c r="AK37" s="61"/>
      <c r="AL37" s="61"/>
      <c r="AM37" s="61"/>
      <c r="AN37" s="61"/>
      <c r="AO37" s="61"/>
      <c r="AP37" s="61"/>
      <c r="AQ37" s="61"/>
      <c r="AR37" s="61"/>
      <c r="AS37" s="61"/>
      <c r="AT37" s="61"/>
      <c r="AU37" s="61"/>
      <c r="AV37" s="61"/>
      <c r="AW37" s="61"/>
      <c r="AX37" s="61"/>
      <c r="AY37" s="61"/>
      <c r="AZ37" s="134"/>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4"/>
      <c r="S38" s="61"/>
      <c r="T38" s="61"/>
      <c r="U38" s="61"/>
      <c r="V38" s="61"/>
      <c r="W38" s="61"/>
      <c r="X38" s="61"/>
      <c r="Y38" s="61"/>
      <c r="Z38" s="61"/>
      <c r="AA38" s="61"/>
      <c r="AB38" s="61"/>
      <c r="AC38" s="61"/>
      <c r="AD38" s="61"/>
      <c r="AE38" s="144"/>
      <c r="AF38" s="61"/>
      <c r="AG38" s="61"/>
      <c r="AH38" s="61"/>
      <c r="AI38" s="61"/>
      <c r="AJ38" s="61"/>
      <c r="AK38" s="61"/>
      <c r="AL38" s="61"/>
      <c r="AM38" s="61"/>
      <c r="AN38" s="61"/>
      <c r="AO38" s="61"/>
      <c r="AP38" s="61"/>
      <c r="AQ38" s="61"/>
      <c r="AR38" s="61"/>
      <c r="AS38" s="61"/>
      <c r="AT38" s="61"/>
      <c r="AU38" s="61"/>
      <c r="AV38" s="61"/>
      <c r="AW38" s="61"/>
      <c r="AX38" s="61"/>
      <c r="AY38" s="61"/>
      <c r="AZ38" s="134"/>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4"/>
      <c r="S39" s="61"/>
      <c r="T39" s="61"/>
      <c r="U39" s="61"/>
      <c r="V39" s="61"/>
      <c r="W39" s="61"/>
      <c r="X39" s="61"/>
      <c r="Y39" s="61"/>
      <c r="Z39" s="61"/>
      <c r="AA39" s="61"/>
      <c r="AB39" s="61"/>
      <c r="AC39" s="61"/>
      <c r="AD39" s="61"/>
      <c r="AE39" s="144"/>
      <c r="AF39" s="61"/>
      <c r="AG39" s="61"/>
      <c r="AH39" s="61"/>
      <c r="AI39" s="61"/>
      <c r="AJ39" s="61"/>
      <c r="AK39" s="61"/>
      <c r="AL39" s="61"/>
      <c r="AM39" s="61"/>
      <c r="AN39" s="61"/>
      <c r="AO39" s="61"/>
      <c r="AP39" s="61"/>
      <c r="AQ39" s="61"/>
      <c r="AR39" s="61"/>
      <c r="AS39" s="61"/>
      <c r="AT39" s="61"/>
      <c r="AU39" s="61"/>
      <c r="AV39" s="61"/>
      <c r="AW39" s="61"/>
      <c r="AX39" s="61"/>
      <c r="AY39" s="61"/>
      <c r="AZ39" s="134"/>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4"/>
      <c r="S40" s="61"/>
      <c r="T40" s="61"/>
      <c r="U40" s="61"/>
      <c r="V40" s="61"/>
      <c r="W40" s="61"/>
      <c r="X40" s="61"/>
      <c r="Y40" s="61"/>
      <c r="Z40" s="61"/>
      <c r="AA40" s="61"/>
      <c r="AB40" s="61"/>
      <c r="AC40" s="61"/>
      <c r="AD40" s="61"/>
      <c r="AE40" s="144"/>
      <c r="AF40" s="61"/>
      <c r="AG40" s="61"/>
      <c r="AH40" s="61"/>
      <c r="AI40" s="61"/>
      <c r="AJ40" s="61"/>
      <c r="AK40" s="61"/>
      <c r="AL40" s="61"/>
      <c r="AM40" s="61"/>
      <c r="AN40" s="61"/>
      <c r="AO40" s="61"/>
      <c r="AP40" s="61"/>
      <c r="AQ40" s="61"/>
      <c r="AR40" s="61"/>
      <c r="AS40" s="61"/>
      <c r="AT40" s="61"/>
      <c r="AU40" s="61"/>
      <c r="AV40" s="61"/>
      <c r="AW40" s="61"/>
      <c r="AX40" s="61"/>
      <c r="AY40" s="61"/>
      <c r="AZ40" s="134"/>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4"/>
      <c r="S41" s="61"/>
      <c r="T41" s="61"/>
      <c r="U41" s="61"/>
      <c r="V41" s="61"/>
      <c r="W41" s="61"/>
      <c r="X41" s="61"/>
      <c r="Y41" s="61"/>
      <c r="Z41" s="61"/>
      <c r="AA41" s="61"/>
      <c r="AB41" s="61"/>
      <c r="AC41" s="61"/>
      <c r="AD41" s="61"/>
      <c r="AE41" s="144"/>
      <c r="AF41" s="61"/>
      <c r="AG41" s="61"/>
      <c r="AH41" s="61"/>
      <c r="AI41" s="61"/>
      <c r="AJ41" s="61"/>
      <c r="AK41" s="61"/>
      <c r="AL41" s="61"/>
      <c r="AM41" s="61"/>
      <c r="AN41" s="61"/>
      <c r="AO41" s="61"/>
      <c r="AP41" s="61"/>
      <c r="AQ41" s="61"/>
      <c r="AR41" s="61"/>
      <c r="AS41" s="61"/>
      <c r="AT41" s="61"/>
      <c r="AU41" s="61"/>
      <c r="AV41" s="61"/>
      <c r="AW41" s="61"/>
      <c r="AX41" s="61"/>
      <c r="AY41" s="61"/>
      <c r="AZ41" s="134"/>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4"/>
      <c r="S42" s="61"/>
      <c r="T42" s="61"/>
      <c r="U42" s="61"/>
      <c r="V42" s="61"/>
      <c r="W42" s="61"/>
      <c r="X42" s="61"/>
      <c r="Y42" s="61"/>
      <c r="Z42" s="61"/>
      <c r="AA42" s="61"/>
      <c r="AB42" s="61"/>
      <c r="AC42" s="61"/>
      <c r="AD42" s="61"/>
      <c r="AE42" s="144"/>
      <c r="AF42" s="61"/>
      <c r="AG42" s="61"/>
      <c r="AH42" s="61"/>
      <c r="AI42" s="61"/>
      <c r="AJ42" s="61"/>
      <c r="AK42" s="61"/>
      <c r="AL42" s="61"/>
      <c r="AM42" s="61"/>
      <c r="AN42" s="61"/>
      <c r="AO42" s="61"/>
      <c r="AP42" s="61"/>
      <c r="AQ42" s="61"/>
      <c r="AR42" s="61"/>
      <c r="AS42" s="61"/>
      <c r="AT42" s="61"/>
      <c r="AU42" s="61"/>
      <c r="AV42" s="61"/>
      <c r="AW42" s="61"/>
      <c r="AX42" s="61"/>
      <c r="AY42" s="61"/>
      <c r="AZ42" s="134"/>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4"/>
      <c r="S43" s="61"/>
      <c r="T43" s="61"/>
      <c r="U43" s="61"/>
      <c r="V43" s="61"/>
      <c r="W43" s="61"/>
      <c r="X43" s="61"/>
      <c r="Y43" s="61"/>
      <c r="Z43" s="61"/>
      <c r="AA43" s="61"/>
      <c r="AB43" s="61"/>
      <c r="AC43" s="61"/>
      <c r="AD43" s="61"/>
      <c r="AE43" s="144"/>
      <c r="AF43" s="61"/>
      <c r="AG43" s="61"/>
      <c r="AH43" s="61"/>
      <c r="AI43" s="61"/>
      <c r="AJ43" s="61"/>
      <c r="AK43" s="61"/>
      <c r="AL43" s="61"/>
      <c r="AM43" s="61"/>
      <c r="AN43" s="61"/>
      <c r="AO43" s="61"/>
      <c r="AP43" s="61"/>
      <c r="AQ43" s="61"/>
      <c r="AR43" s="61"/>
      <c r="AS43" s="61"/>
      <c r="AT43" s="61"/>
      <c r="AU43" s="61"/>
      <c r="AV43" s="61"/>
      <c r="AW43" s="61"/>
      <c r="AX43" s="61"/>
      <c r="AY43" s="61"/>
      <c r="AZ43" s="134"/>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4"/>
      <c r="S44" s="61"/>
      <c r="T44" s="61"/>
      <c r="U44" s="61"/>
      <c r="V44" s="61"/>
      <c r="W44" s="61"/>
      <c r="X44" s="61"/>
      <c r="Y44" s="61"/>
      <c r="Z44" s="61"/>
      <c r="AA44" s="61"/>
      <c r="AB44" s="61"/>
      <c r="AC44" s="61"/>
      <c r="AD44" s="61"/>
      <c r="AE44" s="144"/>
      <c r="AF44" s="61"/>
      <c r="AG44" s="61"/>
      <c r="AH44" s="61"/>
      <c r="AI44" s="61"/>
      <c r="AJ44" s="61"/>
      <c r="AK44" s="61"/>
      <c r="AL44" s="61"/>
      <c r="AM44" s="61"/>
      <c r="AN44" s="61"/>
      <c r="AO44" s="61"/>
      <c r="AP44" s="61"/>
      <c r="AQ44" s="61"/>
      <c r="AR44" s="61"/>
      <c r="AS44" s="61"/>
      <c r="AT44" s="61"/>
      <c r="AU44" s="61"/>
      <c r="AV44" s="61"/>
      <c r="AW44" s="61"/>
      <c r="AX44" s="61"/>
      <c r="AY44" s="61"/>
      <c r="AZ44" s="134"/>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4"/>
      <c r="S45" s="61"/>
      <c r="T45" s="61"/>
      <c r="U45" s="61"/>
      <c r="V45" s="61"/>
      <c r="W45" s="61"/>
      <c r="X45" s="61"/>
      <c r="Y45" s="61"/>
      <c r="Z45" s="61"/>
      <c r="AA45" s="61"/>
      <c r="AB45" s="61"/>
      <c r="AC45" s="61"/>
      <c r="AD45" s="61"/>
      <c r="AE45" s="144"/>
      <c r="AF45" s="61"/>
      <c r="AG45" s="61"/>
      <c r="AH45" s="61"/>
      <c r="AI45" s="61"/>
      <c r="AJ45" s="61"/>
      <c r="AK45" s="61"/>
      <c r="AL45" s="61"/>
      <c r="AM45" s="61"/>
      <c r="AN45" s="61"/>
      <c r="AO45" s="61"/>
      <c r="AP45" s="61"/>
      <c r="AQ45" s="61"/>
      <c r="AR45" s="61"/>
      <c r="AS45" s="61"/>
      <c r="AT45" s="61"/>
      <c r="AU45" s="61"/>
      <c r="AV45" s="61"/>
      <c r="AW45" s="61"/>
      <c r="AX45" s="61"/>
      <c r="AY45" s="61"/>
      <c r="AZ45" s="134"/>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4"/>
      <c r="S46" s="61"/>
      <c r="T46" s="61"/>
      <c r="U46" s="61"/>
      <c r="V46" s="61"/>
      <c r="W46" s="61"/>
      <c r="X46" s="61"/>
      <c r="Y46" s="61"/>
      <c r="Z46" s="61"/>
      <c r="AA46" s="61"/>
      <c r="AB46" s="61"/>
      <c r="AC46" s="61"/>
      <c r="AD46" s="61"/>
      <c r="AE46" s="144"/>
      <c r="AF46" s="61"/>
      <c r="AG46" s="61"/>
      <c r="AH46" s="61"/>
      <c r="AI46" s="61"/>
      <c r="AJ46" s="61"/>
      <c r="AK46" s="61"/>
      <c r="AL46" s="61"/>
      <c r="AM46" s="61"/>
      <c r="AN46" s="61"/>
      <c r="AO46" s="61"/>
      <c r="AP46" s="61"/>
      <c r="AQ46" s="61"/>
      <c r="AR46" s="61"/>
      <c r="AS46" s="61"/>
      <c r="AT46" s="61"/>
      <c r="AU46" s="61"/>
      <c r="AV46" s="61"/>
      <c r="AW46" s="61"/>
      <c r="AX46" s="61"/>
      <c r="AY46" s="61"/>
      <c r="AZ46" s="134"/>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4"/>
      <c r="S47" s="61"/>
      <c r="T47" s="61"/>
      <c r="U47" s="61"/>
      <c r="V47" s="61"/>
      <c r="W47" s="61"/>
      <c r="X47" s="61"/>
      <c r="Y47" s="61"/>
      <c r="Z47" s="61"/>
      <c r="AA47" s="61"/>
      <c r="AB47" s="61"/>
      <c r="AC47" s="61"/>
      <c r="AD47" s="61"/>
      <c r="AE47" s="144"/>
      <c r="AF47" s="61"/>
      <c r="AG47" s="61"/>
      <c r="AH47" s="61"/>
      <c r="AI47" s="61"/>
      <c r="AJ47" s="61"/>
      <c r="AK47" s="61"/>
      <c r="AL47" s="61"/>
      <c r="AM47" s="61"/>
      <c r="AN47" s="61"/>
      <c r="AO47" s="61"/>
      <c r="AP47" s="61"/>
      <c r="AQ47" s="61"/>
      <c r="AR47" s="61"/>
      <c r="AS47" s="61"/>
      <c r="AT47" s="61"/>
      <c r="AU47" s="61"/>
      <c r="AV47" s="61"/>
      <c r="AW47" s="61"/>
      <c r="AX47" s="61"/>
      <c r="AY47" s="61"/>
      <c r="AZ47" s="134"/>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4"/>
      <c r="S48" s="61"/>
      <c r="T48" s="61"/>
      <c r="U48" s="61"/>
      <c r="V48" s="61"/>
      <c r="W48" s="61"/>
      <c r="X48" s="61"/>
      <c r="Y48" s="61"/>
      <c r="Z48" s="61"/>
      <c r="AA48" s="61"/>
      <c r="AB48" s="61"/>
      <c r="AC48" s="61"/>
      <c r="AD48" s="61"/>
      <c r="AE48" s="144"/>
      <c r="AF48" s="61"/>
      <c r="AG48" s="61"/>
      <c r="AH48" s="61"/>
      <c r="AI48" s="61"/>
      <c r="AJ48" s="61"/>
      <c r="AK48" s="61"/>
      <c r="AL48" s="61"/>
      <c r="AM48" s="61"/>
      <c r="AN48" s="61"/>
      <c r="AO48" s="61"/>
      <c r="AP48" s="61"/>
      <c r="AQ48" s="61"/>
      <c r="AR48" s="61"/>
      <c r="AS48" s="61"/>
      <c r="AT48" s="61"/>
      <c r="AU48" s="61"/>
      <c r="AV48" s="61"/>
      <c r="AW48" s="61"/>
      <c r="AX48" s="61"/>
      <c r="AY48" s="61"/>
      <c r="AZ48" s="134"/>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4"/>
      <c r="S49" s="61"/>
      <c r="T49" s="61"/>
      <c r="U49" s="61"/>
      <c r="V49" s="61"/>
      <c r="W49" s="61"/>
      <c r="X49" s="61"/>
      <c r="Y49" s="61"/>
      <c r="Z49" s="61"/>
      <c r="AA49" s="61"/>
      <c r="AB49" s="61"/>
      <c r="AC49" s="61"/>
      <c r="AD49" s="61"/>
      <c r="AE49" s="144"/>
      <c r="AF49" s="61"/>
      <c r="AG49" s="61"/>
      <c r="AH49" s="61"/>
      <c r="AI49" s="61"/>
      <c r="AJ49" s="61"/>
      <c r="AK49" s="61"/>
      <c r="AL49" s="61"/>
      <c r="AM49" s="61"/>
      <c r="AN49" s="61"/>
      <c r="AO49" s="61"/>
      <c r="AP49" s="61"/>
      <c r="AQ49" s="61"/>
      <c r="AR49" s="61"/>
      <c r="AS49" s="61"/>
      <c r="AT49" s="61"/>
      <c r="AU49" s="61"/>
      <c r="AV49" s="61"/>
      <c r="AW49" s="61"/>
      <c r="AX49" s="61"/>
      <c r="AY49" s="61"/>
      <c r="AZ49" s="134"/>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4"/>
      <c r="S50" s="61"/>
      <c r="T50" s="61"/>
      <c r="U50" s="61"/>
      <c r="V50" s="61"/>
      <c r="W50" s="61"/>
      <c r="X50" s="61"/>
      <c r="Y50" s="61"/>
      <c r="Z50" s="61"/>
      <c r="AA50" s="61"/>
      <c r="AB50" s="61"/>
      <c r="AC50" s="61"/>
      <c r="AD50" s="61"/>
      <c r="AE50" s="144"/>
      <c r="AF50" s="61"/>
      <c r="AG50" s="61"/>
      <c r="AH50" s="61"/>
      <c r="AI50" s="61"/>
      <c r="AJ50" s="61"/>
      <c r="AK50" s="61"/>
      <c r="AL50" s="61"/>
      <c r="AM50" s="61"/>
      <c r="AN50" s="61"/>
      <c r="AO50" s="61"/>
      <c r="AP50" s="61"/>
      <c r="AQ50" s="61"/>
      <c r="AR50" s="61"/>
      <c r="AS50" s="61"/>
      <c r="AT50" s="61"/>
      <c r="AU50" s="61"/>
      <c r="AV50" s="61"/>
      <c r="AW50" s="61"/>
      <c r="AX50" s="61"/>
      <c r="AY50" s="61"/>
      <c r="AZ50" s="134"/>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4"/>
      <c r="S51" s="61"/>
      <c r="T51" s="61"/>
      <c r="U51" s="61"/>
      <c r="V51" s="61"/>
      <c r="W51" s="61"/>
      <c r="X51" s="61"/>
      <c r="Y51" s="61"/>
      <c r="Z51" s="61"/>
      <c r="AA51" s="61"/>
      <c r="AB51" s="61"/>
      <c r="AC51" s="61"/>
      <c r="AD51" s="61"/>
      <c r="AE51" s="144"/>
      <c r="AF51" s="61"/>
      <c r="AG51" s="61"/>
      <c r="AH51" s="61"/>
      <c r="AI51" s="61"/>
      <c r="AJ51" s="61"/>
      <c r="AK51" s="61"/>
      <c r="AL51" s="61"/>
      <c r="AM51" s="61"/>
      <c r="AN51" s="61"/>
      <c r="AO51" s="61"/>
      <c r="AP51" s="61"/>
      <c r="AQ51" s="61"/>
      <c r="AR51" s="61"/>
      <c r="AS51" s="61"/>
      <c r="AT51" s="61"/>
      <c r="AU51" s="61"/>
      <c r="AV51" s="61"/>
      <c r="AW51" s="61"/>
      <c r="AX51" s="61"/>
      <c r="AY51" s="61"/>
      <c r="AZ51" s="134"/>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4"/>
      <c r="S52" s="61"/>
      <c r="T52" s="61"/>
      <c r="U52" s="61"/>
      <c r="V52" s="61"/>
      <c r="W52" s="61"/>
      <c r="X52" s="61"/>
      <c r="Y52" s="61"/>
      <c r="Z52" s="61"/>
      <c r="AA52" s="61"/>
      <c r="AB52" s="61"/>
      <c r="AC52" s="61"/>
      <c r="AD52" s="61"/>
      <c r="AE52" s="144"/>
      <c r="AF52" s="61"/>
      <c r="AG52" s="61"/>
      <c r="AH52" s="61"/>
      <c r="AI52" s="61"/>
      <c r="AJ52" s="61"/>
      <c r="AK52" s="61"/>
      <c r="AL52" s="61"/>
      <c r="AM52" s="61"/>
      <c r="AN52" s="61"/>
      <c r="AO52" s="61"/>
      <c r="AP52" s="61"/>
      <c r="AQ52" s="61"/>
      <c r="AR52" s="61"/>
      <c r="AS52" s="61"/>
      <c r="AT52" s="61"/>
      <c r="AU52" s="61"/>
      <c r="AV52" s="61"/>
      <c r="AW52" s="61"/>
      <c r="AX52" s="61"/>
      <c r="AY52" s="61"/>
      <c r="AZ52" s="134"/>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4"/>
      <c r="S53" s="61"/>
      <c r="T53" s="61"/>
      <c r="U53" s="61"/>
      <c r="V53" s="61"/>
      <c r="W53" s="61"/>
      <c r="X53" s="61"/>
      <c r="Y53" s="61"/>
      <c r="Z53" s="61"/>
      <c r="AA53" s="61"/>
      <c r="AB53" s="61"/>
      <c r="AC53" s="61"/>
      <c r="AD53" s="61"/>
      <c r="AE53" s="144"/>
      <c r="AF53" s="61"/>
      <c r="AG53" s="61"/>
      <c r="AH53" s="61"/>
      <c r="AI53" s="61"/>
      <c r="AJ53" s="61"/>
      <c r="AK53" s="61"/>
      <c r="AL53" s="61"/>
      <c r="AM53" s="61"/>
      <c r="AN53" s="61"/>
      <c r="AO53" s="61"/>
      <c r="AP53" s="61"/>
      <c r="AQ53" s="61"/>
      <c r="AR53" s="61"/>
      <c r="AS53" s="61"/>
      <c r="AT53" s="61"/>
      <c r="AU53" s="61"/>
      <c r="AV53" s="61"/>
      <c r="AW53" s="61"/>
      <c r="AX53" s="61"/>
      <c r="AY53" s="61"/>
      <c r="AZ53" s="134"/>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4"/>
      <c r="S54" s="61"/>
      <c r="T54" s="61"/>
      <c r="U54" s="61"/>
      <c r="V54" s="61"/>
      <c r="W54" s="61"/>
      <c r="X54" s="61"/>
      <c r="Y54" s="61"/>
      <c r="Z54" s="61"/>
      <c r="AA54" s="61"/>
      <c r="AB54" s="61"/>
      <c r="AC54" s="61"/>
      <c r="AD54" s="61"/>
      <c r="AE54" s="144"/>
      <c r="AF54" s="61"/>
      <c r="AG54" s="61"/>
      <c r="AH54" s="61"/>
      <c r="AI54" s="61"/>
      <c r="AJ54" s="61"/>
      <c r="AK54" s="61"/>
      <c r="AL54" s="61"/>
      <c r="AM54" s="61"/>
      <c r="AN54" s="61"/>
      <c r="AO54" s="61"/>
      <c r="AP54" s="61"/>
      <c r="AQ54" s="61"/>
      <c r="AR54" s="61"/>
      <c r="AS54" s="61"/>
      <c r="AT54" s="61"/>
      <c r="AU54" s="61"/>
      <c r="AV54" s="61"/>
      <c r="AW54" s="61"/>
      <c r="AX54" s="61"/>
      <c r="AY54" s="61"/>
      <c r="AZ54" s="134"/>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4"/>
      <c r="S55" s="61"/>
      <c r="T55" s="61"/>
      <c r="U55" s="61"/>
      <c r="V55" s="61"/>
      <c r="W55" s="61"/>
      <c r="X55" s="61"/>
      <c r="Y55" s="61"/>
      <c r="Z55" s="61"/>
      <c r="AA55" s="61"/>
      <c r="AB55" s="61"/>
      <c r="AC55" s="61"/>
      <c r="AD55" s="61"/>
      <c r="AE55" s="144"/>
      <c r="AF55" s="61"/>
      <c r="AG55" s="61"/>
      <c r="AH55" s="61"/>
      <c r="AI55" s="61"/>
      <c r="AJ55" s="61"/>
      <c r="AK55" s="61"/>
      <c r="AL55" s="61"/>
      <c r="AM55" s="61"/>
      <c r="AN55" s="61"/>
      <c r="AO55" s="61"/>
      <c r="AP55" s="61"/>
      <c r="AQ55" s="61"/>
      <c r="AR55" s="61"/>
      <c r="AS55" s="61"/>
      <c r="AT55" s="61"/>
      <c r="AU55" s="61"/>
      <c r="AV55" s="61"/>
      <c r="AW55" s="61"/>
      <c r="AX55" s="61"/>
      <c r="AY55" s="61"/>
      <c r="AZ55" s="134"/>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4"/>
      <c r="S56" s="61"/>
      <c r="T56" s="61"/>
      <c r="U56" s="61"/>
      <c r="V56" s="61"/>
      <c r="W56" s="61"/>
      <c r="X56" s="61"/>
      <c r="Y56" s="61"/>
      <c r="Z56" s="61"/>
      <c r="AA56" s="61"/>
      <c r="AB56" s="61"/>
      <c r="AC56" s="61"/>
      <c r="AD56" s="61"/>
      <c r="AE56" s="144"/>
      <c r="AF56" s="61"/>
      <c r="AG56" s="61"/>
      <c r="AH56" s="61"/>
      <c r="AI56" s="61"/>
      <c r="AJ56" s="61"/>
      <c r="AK56" s="61"/>
      <c r="AL56" s="61"/>
      <c r="AM56" s="61"/>
      <c r="AN56" s="61"/>
      <c r="AO56" s="61"/>
      <c r="AP56" s="61"/>
      <c r="AQ56" s="61"/>
      <c r="AR56" s="61"/>
      <c r="AS56" s="61"/>
      <c r="AT56" s="61"/>
      <c r="AU56" s="61"/>
      <c r="AV56" s="61"/>
      <c r="AW56" s="61"/>
      <c r="AX56" s="61"/>
      <c r="AY56" s="61"/>
      <c r="AZ56" s="134"/>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4"/>
      <c r="S57" s="61"/>
      <c r="T57" s="61"/>
      <c r="U57" s="61"/>
      <c r="V57" s="61"/>
      <c r="W57" s="61"/>
      <c r="X57" s="61"/>
      <c r="Y57" s="61"/>
      <c r="Z57" s="61"/>
      <c r="AA57" s="61"/>
      <c r="AB57" s="61"/>
      <c r="AC57" s="61"/>
      <c r="AD57" s="61"/>
      <c r="AE57" s="144"/>
      <c r="AF57" s="61"/>
      <c r="AG57" s="61"/>
      <c r="AH57" s="61"/>
      <c r="AI57" s="61"/>
      <c r="AJ57" s="61"/>
      <c r="AK57" s="61"/>
      <c r="AL57" s="61"/>
      <c r="AM57" s="61"/>
      <c r="AN57" s="61"/>
      <c r="AO57" s="61"/>
      <c r="AP57" s="61"/>
      <c r="AQ57" s="61"/>
      <c r="AR57" s="61"/>
      <c r="AS57" s="61"/>
      <c r="AT57" s="61"/>
      <c r="AU57" s="61"/>
      <c r="AV57" s="61"/>
      <c r="AW57" s="61"/>
      <c r="AX57" s="61"/>
      <c r="AY57" s="61"/>
      <c r="AZ57" s="134"/>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4"/>
      <c r="S58" s="61"/>
      <c r="T58" s="61"/>
      <c r="U58" s="61"/>
      <c r="V58" s="61"/>
      <c r="W58" s="61"/>
      <c r="X58" s="61"/>
      <c r="Y58" s="61"/>
      <c r="Z58" s="61"/>
      <c r="AA58" s="61"/>
      <c r="AB58" s="61"/>
      <c r="AC58" s="61"/>
      <c r="AD58" s="61"/>
      <c r="AE58" s="144"/>
      <c r="AF58" s="61"/>
      <c r="AG58" s="61"/>
      <c r="AH58" s="61"/>
      <c r="AI58" s="61"/>
      <c r="AJ58" s="61"/>
      <c r="AK58" s="61"/>
      <c r="AL58" s="61"/>
      <c r="AM58" s="61"/>
      <c r="AN58" s="61"/>
      <c r="AO58" s="61"/>
      <c r="AP58" s="61"/>
      <c r="AQ58" s="61"/>
      <c r="AR58" s="61"/>
      <c r="AS58" s="61"/>
      <c r="AT58" s="61"/>
      <c r="AU58" s="61"/>
      <c r="AV58" s="61"/>
      <c r="AW58" s="61"/>
      <c r="AX58" s="61"/>
      <c r="AY58" s="61"/>
      <c r="AZ58" s="134"/>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4"/>
      <c r="S59" s="61"/>
      <c r="T59" s="61"/>
      <c r="U59" s="61"/>
      <c r="V59" s="61"/>
      <c r="W59" s="61"/>
      <c r="X59" s="61"/>
      <c r="Y59" s="61"/>
      <c r="Z59" s="61"/>
      <c r="AA59" s="61"/>
      <c r="AB59" s="61"/>
      <c r="AC59" s="61"/>
      <c r="AD59" s="61"/>
      <c r="AE59" s="144"/>
      <c r="AF59" s="61"/>
      <c r="AG59" s="61"/>
      <c r="AH59" s="61"/>
      <c r="AI59" s="61"/>
      <c r="AJ59" s="61"/>
      <c r="AK59" s="61"/>
      <c r="AL59" s="61"/>
      <c r="AM59" s="61"/>
      <c r="AN59" s="61"/>
      <c r="AO59" s="61"/>
      <c r="AP59" s="61"/>
      <c r="AQ59" s="61"/>
      <c r="AR59" s="61"/>
      <c r="AS59" s="61"/>
      <c r="AT59" s="61"/>
      <c r="AU59" s="61"/>
      <c r="AV59" s="61"/>
      <c r="AW59" s="61"/>
      <c r="AX59" s="61"/>
      <c r="AY59" s="61"/>
      <c r="AZ59" s="134"/>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4"/>
      <c r="S60" s="61"/>
      <c r="T60" s="61"/>
      <c r="U60" s="61"/>
      <c r="V60" s="61"/>
      <c r="W60" s="61"/>
      <c r="X60" s="61"/>
      <c r="Y60" s="61"/>
      <c r="Z60" s="61"/>
      <c r="AA60" s="61"/>
      <c r="AB60" s="61"/>
      <c r="AC60" s="61"/>
      <c r="AD60" s="61"/>
      <c r="AE60" s="144"/>
      <c r="AF60" s="61"/>
      <c r="AG60" s="61"/>
      <c r="AH60" s="61"/>
      <c r="AI60" s="61"/>
      <c r="AJ60" s="61"/>
      <c r="AK60" s="61"/>
      <c r="AL60" s="61"/>
      <c r="AM60" s="61"/>
      <c r="AN60" s="61"/>
      <c r="AO60" s="61"/>
      <c r="AP60" s="61"/>
      <c r="AQ60" s="61"/>
      <c r="AR60" s="61"/>
      <c r="AS60" s="61"/>
      <c r="AT60" s="61"/>
      <c r="AU60" s="61"/>
      <c r="AV60" s="61"/>
      <c r="AW60" s="61"/>
      <c r="AX60" s="61"/>
      <c r="AY60" s="61"/>
      <c r="AZ60" s="134"/>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4"/>
      <c r="S61" s="61"/>
      <c r="T61" s="61"/>
      <c r="U61" s="61"/>
      <c r="V61" s="61"/>
      <c r="W61" s="61"/>
      <c r="X61" s="61"/>
      <c r="Y61" s="61"/>
      <c r="Z61" s="61"/>
      <c r="AA61" s="61"/>
      <c r="AB61" s="61"/>
      <c r="AC61" s="61"/>
      <c r="AD61" s="61"/>
      <c r="AE61" s="144"/>
      <c r="AF61" s="61"/>
      <c r="AG61" s="61"/>
      <c r="AH61" s="61"/>
      <c r="AI61" s="61"/>
      <c r="AJ61" s="61"/>
      <c r="AK61" s="61"/>
      <c r="AL61" s="61"/>
      <c r="AM61" s="61"/>
      <c r="AN61" s="61"/>
      <c r="AO61" s="61"/>
      <c r="AP61" s="61"/>
      <c r="AQ61" s="61"/>
      <c r="AR61" s="61"/>
      <c r="AS61" s="61"/>
      <c r="AT61" s="61"/>
      <c r="AU61" s="61"/>
      <c r="AV61" s="61"/>
      <c r="AW61" s="61"/>
      <c r="AX61" s="61"/>
      <c r="AY61" s="61"/>
      <c r="AZ61" s="134"/>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4"/>
      <c r="S62" s="61"/>
      <c r="T62" s="61"/>
      <c r="U62" s="61"/>
      <c r="V62" s="61"/>
      <c r="W62" s="61"/>
      <c r="X62" s="61"/>
      <c r="Y62" s="61"/>
      <c r="Z62" s="61"/>
      <c r="AA62" s="61"/>
      <c r="AB62" s="61"/>
      <c r="AC62" s="61"/>
      <c r="AD62" s="61"/>
      <c r="AE62" s="144"/>
      <c r="AF62" s="61"/>
      <c r="AG62" s="61"/>
      <c r="AH62" s="61"/>
      <c r="AI62" s="61"/>
      <c r="AJ62" s="61"/>
      <c r="AK62" s="61"/>
      <c r="AL62" s="61"/>
      <c r="AM62" s="61"/>
      <c r="AN62" s="61"/>
      <c r="AO62" s="61"/>
      <c r="AP62" s="61"/>
      <c r="AQ62" s="61"/>
      <c r="AR62" s="61"/>
      <c r="AS62" s="61"/>
      <c r="AT62" s="61"/>
      <c r="AU62" s="61"/>
      <c r="AV62" s="61"/>
      <c r="AW62" s="61"/>
      <c r="AX62" s="61"/>
      <c r="AY62" s="61"/>
      <c r="AZ62" s="134"/>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4"/>
      <c r="S63" s="61"/>
      <c r="T63" s="61"/>
      <c r="U63" s="61"/>
      <c r="V63" s="61"/>
      <c r="W63" s="61"/>
      <c r="X63" s="61"/>
      <c r="Y63" s="61"/>
      <c r="Z63" s="61"/>
      <c r="AA63" s="61"/>
      <c r="AB63" s="61"/>
      <c r="AC63" s="61"/>
      <c r="AD63" s="61"/>
      <c r="AE63" s="144"/>
      <c r="AF63" s="61"/>
      <c r="AG63" s="61"/>
      <c r="AH63" s="61"/>
      <c r="AI63" s="61"/>
      <c r="AJ63" s="61"/>
      <c r="AK63" s="61"/>
      <c r="AL63" s="61"/>
      <c r="AM63" s="61"/>
      <c r="AN63" s="61"/>
      <c r="AO63" s="61"/>
      <c r="AP63" s="61"/>
      <c r="AQ63" s="61"/>
      <c r="AR63" s="61"/>
      <c r="AS63" s="61"/>
      <c r="AT63" s="61"/>
      <c r="AU63" s="61"/>
      <c r="AV63" s="61"/>
      <c r="AW63" s="61"/>
      <c r="AX63" s="61"/>
      <c r="AY63" s="61"/>
      <c r="AZ63" s="134"/>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4"/>
      <c r="S64" s="61"/>
      <c r="T64" s="61"/>
      <c r="U64" s="61"/>
      <c r="V64" s="61"/>
      <c r="W64" s="61"/>
      <c r="X64" s="61"/>
      <c r="Y64" s="61"/>
      <c r="Z64" s="61"/>
      <c r="AA64" s="61"/>
      <c r="AB64" s="61"/>
      <c r="AC64" s="61"/>
      <c r="AD64" s="61"/>
      <c r="AE64" s="144"/>
      <c r="AF64" s="61"/>
      <c r="AG64" s="61"/>
      <c r="AH64" s="61"/>
      <c r="AI64" s="61"/>
      <c r="AJ64" s="61"/>
      <c r="AK64" s="61"/>
      <c r="AL64" s="61"/>
      <c r="AM64" s="61"/>
      <c r="AN64" s="61"/>
      <c r="AO64" s="61"/>
      <c r="AP64" s="61"/>
      <c r="AQ64" s="61"/>
      <c r="AR64" s="61"/>
      <c r="AS64" s="61"/>
      <c r="AT64" s="61"/>
      <c r="AU64" s="61"/>
      <c r="AV64" s="61"/>
      <c r="AW64" s="61"/>
      <c r="AX64" s="61"/>
      <c r="AY64" s="61"/>
      <c r="AZ64" s="134"/>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4"/>
      <c r="S65" s="61"/>
      <c r="T65" s="61"/>
      <c r="U65" s="61"/>
      <c r="V65" s="61"/>
      <c r="W65" s="61"/>
      <c r="X65" s="61"/>
      <c r="Y65" s="61"/>
      <c r="Z65" s="61"/>
      <c r="AA65" s="61"/>
      <c r="AB65" s="61"/>
      <c r="AC65" s="61"/>
      <c r="AD65" s="61"/>
      <c r="AE65" s="144"/>
      <c r="AF65" s="61"/>
      <c r="AG65" s="61"/>
      <c r="AH65" s="61"/>
      <c r="AI65" s="61"/>
      <c r="AJ65" s="61"/>
      <c r="AK65" s="61"/>
      <c r="AL65" s="61"/>
      <c r="AM65" s="61"/>
      <c r="AN65" s="61"/>
      <c r="AO65" s="61"/>
      <c r="AP65" s="61"/>
      <c r="AQ65" s="61"/>
      <c r="AR65" s="61"/>
      <c r="AS65" s="61"/>
      <c r="AT65" s="61"/>
      <c r="AU65" s="61"/>
      <c r="AV65" s="61"/>
      <c r="AW65" s="61"/>
      <c r="AX65" s="61"/>
      <c r="AY65" s="61"/>
      <c r="AZ65" s="134"/>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4"/>
      <c r="S66" s="61"/>
      <c r="T66" s="61"/>
      <c r="U66" s="61"/>
      <c r="V66" s="61"/>
      <c r="W66" s="61"/>
      <c r="X66" s="61"/>
      <c r="Y66" s="61"/>
      <c r="Z66" s="61"/>
      <c r="AA66" s="61"/>
      <c r="AB66" s="61"/>
      <c r="AC66" s="61"/>
      <c r="AD66" s="61"/>
      <c r="AE66" s="144"/>
      <c r="AF66" s="61"/>
      <c r="AG66" s="61"/>
      <c r="AH66" s="61"/>
      <c r="AI66" s="61"/>
      <c r="AJ66" s="61"/>
      <c r="AK66" s="61"/>
      <c r="AL66" s="61"/>
      <c r="AM66" s="61"/>
      <c r="AN66" s="61"/>
      <c r="AO66" s="61"/>
      <c r="AP66" s="61"/>
      <c r="AQ66" s="61"/>
      <c r="AR66" s="61"/>
      <c r="AS66" s="61"/>
      <c r="AT66" s="61"/>
      <c r="AU66" s="61"/>
      <c r="AV66" s="61"/>
      <c r="AW66" s="61"/>
      <c r="AX66" s="61"/>
      <c r="AY66" s="61"/>
      <c r="AZ66" s="134"/>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4"/>
      <c r="S67" s="61"/>
      <c r="T67" s="61"/>
      <c r="U67" s="61"/>
      <c r="V67" s="61"/>
      <c r="W67" s="61"/>
      <c r="X67" s="61"/>
      <c r="Y67" s="61"/>
      <c r="Z67" s="61"/>
      <c r="AA67" s="61"/>
      <c r="AB67" s="61"/>
      <c r="AC67" s="61"/>
      <c r="AD67" s="61"/>
      <c r="AE67" s="144"/>
      <c r="AF67" s="61"/>
      <c r="AG67" s="61"/>
      <c r="AH67" s="61"/>
      <c r="AI67" s="61"/>
      <c r="AJ67" s="61"/>
      <c r="AK67" s="61"/>
      <c r="AL67" s="61"/>
      <c r="AM67" s="61"/>
      <c r="AN67" s="61"/>
      <c r="AO67" s="61"/>
      <c r="AP67" s="61"/>
      <c r="AQ67" s="61"/>
      <c r="AR67" s="61"/>
      <c r="AS67" s="61"/>
      <c r="AT67" s="61"/>
      <c r="AU67" s="61"/>
      <c r="AV67" s="61"/>
      <c r="AW67" s="61"/>
      <c r="AX67" s="61"/>
      <c r="AY67" s="61"/>
      <c r="AZ67" s="134"/>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4"/>
      <c r="S68" s="61"/>
      <c r="T68" s="61"/>
      <c r="U68" s="61"/>
      <c r="V68" s="61"/>
      <c r="W68" s="61"/>
      <c r="X68" s="61"/>
      <c r="Y68" s="61"/>
      <c r="Z68" s="61"/>
      <c r="AA68" s="61"/>
      <c r="AB68" s="61"/>
      <c r="AC68" s="61"/>
      <c r="AD68" s="61"/>
      <c r="AE68" s="144"/>
      <c r="AF68" s="61"/>
      <c r="AG68" s="61"/>
      <c r="AH68" s="61"/>
      <c r="AI68" s="61"/>
      <c r="AJ68" s="61"/>
      <c r="AK68" s="61"/>
      <c r="AL68" s="61"/>
      <c r="AM68" s="61"/>
      <c r="AN68" s="61"/>
      <c r="AO68" s="61"/>
      <c r="AP68" s="61"/>
      <c r="AQ68" s="61"/>
      <c r="AR68" s="61"/>
      <c r="AS68" s="61"/>
      <c r="AT68" s="61"/>
      <c r="AU68" s="61"/>
      <c r="AV68" s="61"/>
      <c r="AW68" s="61"/>
      <c r="AX68" s="61"/>
      <c r="AY68" s="61"/>
      <c r="AZ68" s="134"/>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4"/>
      <c r="S69" s="61"/>
      <c r="T69" s="61"/>
      <c r="U69" s="61"/>
      <c r="V69" s="61"/>
      <c r="W69" s="61"/>
      <c r="X69" s="61"/>
      <c r="Y69" s="61"/>
      <c r="Z69" s="61"/>
      <c r="AA69" s="61"/>
      <c r="AB69" s="61"/>
      <c r="AC69" s="61"/>
      <c r="AD69" s="61"/>
      <c r="AE69" s="144"/>
      <c r="AF69" s="61"/>
      <c r="AG69" s="61"/>
      <c r="AH69" s="61"/>
      <c r="AI69" s="61"/>
      <c r="AJ69" s="61"/>
      <c r="AK69" s="61"/>
      <c r="AL69" s="61"/>
      <c r="AM69" s="61"/>
      <c r="AN69" s="61"/>
      <c r="AO69" s="61"/>
      <c r="AP69" s="61"/>
      <c r="AQ69" s="61"/>
      <c r="AR69" s="61"/>
      <c r="AS69" s="61"/>
      <c r="AT69" s="61"/>
      <c r="AU69" s="61"/>
      <c r="AV69" s="61"/>
      <c r="AW69" s="61"/>
      <c r="AX69" s="61"/>
      <c r="AY69" s="61"/>
      <c r="AZ69" s="134"/>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4"/>
      <c r="S70" s="61"/>
      <c r="T70" s="61"/>
      <c r="U70" s="61"/>
      <c r="V70" s="61"/>
      <c r="W70" s="61"/>
      <c r="X70" s="61"/>
      <c r="Y70" s="61"/>
      <c r="Z70" s="61"/>
      <c r="AA70" s="61"/>
      <c r="AB70" s="61"/>
      <c r="AC70" s="61"/>
      <c r="AD70" s="61"/>
      <c r="AE70" s="144"/>
      <c r="AF70" s="61"/>
      <c r="AG70" s="61"/>
      <c r="AH70" s="61"/>
      <c r="AI70" s="61"/>
      <c r="AJ70" s="61"/>
      <c r="AK70" s="61"/>
      <c r="AL70" s="61"/>
      <c r="AM70" s="61"/>
      <c r="AN70" s="61"/>
      <c r="AO70" s="61"/>
      <c r="AP70" s="61"/>
      <c r="AQ70" s="61"/>
      <c r="AR70" s="61"/>
      <c r="AS70" s="61"/>
      <c r="AT70" s="61"/>
      <c r="AU70" s="61"/>
      <c r="AV70" s="61"/>
      <c r="AW70" s="61"/>
      <c r="AX70" s="61"/>
      <c r="AY70" s="61"/>
      <c r="AZ70" s="134"/>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4"/>
      <c r="S71" s="61"/>
      <c r="T71" s="61"/>
      <c r="U71" s="61"/>
      <c r="V71" s="61"/>
      <c r="W71" s="61"/>
      <c r="X71" s="61"/>
      <c r="Y71" s="61"/>
      <c r="Z71" s="61"/>
      <c r="AA71" s="61"/>
      <c r="AB71" s="61"/>
      <c r="AC71" s="61"/>
      <c r="AD71" s="61"/>
      <c r="AE71" s="144"/>
      <c r="AF71" s="61"/>
      <c r="AG71" s="61"/>
      <c r="AH71" s="61"/>
      <c r="AI71" s="61"/>
      <c r="AJ71" s="61"/>
      <c r="AK71" s="61"/>
      <c r="AL71" s="61"/>
      <c r="AM71" s="61"/>
      <c r="AN71" s="61"/>
      <c r="AO71" s="61"/>
      <c r="AP71" s="61"/>
      <c r="AQ71" s="61"/>
      <c r="AR71" s="61"/>
      <c r="AS71" s="61"/>
      <c r="AT71" s="61"/>
      <c r="AU71" s="61"/>
      <c r="AV71" s="61"/>
      <c r="AW71" s="61"/>
      <c r="AX71" s="61"/>
      <c r="AY71" s="61"/>
      <c r="AZ71" s="134"/>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4"/>
      <c r="S72" s="61"/>
      <c r="T72" s="61"/>
      <c r="U72" s="61"/>
      <c r="V72" s="61"/>
      <c r="W72" s="61"/>
      <c r="X72" s="61"/>
      <c r="Y72" s="61"/>
      <c r="Z72" s="61"/>
      <c r="AA72" s="61"/>
      <c r="AB72" s="61"/>
      <c r="AC72" s="61"/>
      <c r="AD72" s="61"/>
      <c r="AE72" s="144"/>
      <c r="AF72" s="61"/>
      <c r="AG72" s="61"/>
      <c r="AH72" s="61"/>
      <c r="AI72" s="61"/>
      <c r="AJ72" s="61"/>
      <c r="AK72" s="61"/>
      <c r="AL72" s="61"/>
      <c r="AM72" s="61"/>
      <c r="AN72" s="61"/>
      <c r="AO72" s="61"/>
      <c r="AP72" s="61"/>
      <c r="AQ72" s="61"/>
      <c r="AR72" s="61"/>
      <c r="AS72" s="61"/>
      <c r="AT72" s="61"/>
      <c r="AU72" s="61"/>
      <c r="AV72" s="61"/>
      <c r="AW72" s="61"/>
      <c r="AX72" s="61"/>
      <c r="AY72" s="61"/>
      <c r="AZ72" s="134"/>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4"/>
      <c r="S73" s="61"/>
      <c r="T73" s="61"/>
      <c r="U73" s="61"/>
      <c r="V73" s="61"/>
      <c r="W73" s="61"/>
      <c r="X73" s="61"/>
      <c r="Y73" s="61"/>
      <c r="Z73" s="61"/>
      <c r="AA73" s="61"/>
      <c r="AB73" s="61"/>
      <c r="AC73" s="61"/>
      <c r="AD73" s="61"/>
      <c r="AE73" s="144"/>
      <c r="AF73" s="61"/>
      <c r="AG73" s="61"/>
      <c r="AH73" s="61"/>
      <c r="AI73" s="61"/>
      <c r="AJ73" s="61"/>
      <c r="AK73" s="61"/>
      <c r="AL73" s="61"/>
      <c r="AM73" s="61"/>
      <c r="AN73" s="61"/>
      <c r="AO73" s="61"/>
      <c r="AP73" s="61"/>
      <c r="AQ73" s="61"/>
      <c r="AR73" s="61"/>
      <c r="AS73" s="61"/>
      <c r="AT73" s="61"/>
      <c r="AU73" s="61"/>
      <c r="AV73" s="61"/>
      <c r="AW73" s="61"/>
      <c r="AX73" s="61"/>
      <c r="AY73" s="61"/>
      <c r="AZ73" s="134"/>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4"/>
      <c r="S74" s="61"/>
      <c r="T74" s="61"/>
      <c r="U74" s="61"/>
      <c r="V74" s="61"/>
      <c r="W74" s="61"/>
      <c r="X74" s="61"/>
      <c r="Y74" s="61"/>
      <c r="Z74" s="61"/>
      <c r="AA74" s="61"/>
      <c r="AB74" s="61"/>
      <c r="AC74" s="61"/>
      <c r="AD74" s="61"/>
      <c r="AE74" s="144"/>
      <c r="AF74" s="61"/>
      <c r="AG74" s="61"/>
      <c r="AH74" s="61"/>
      <c r="AI74" s="61"/>
      <c r="AJ74" s="61"/>
      <c r="AK74" s="61"/>
      <c r="AL74" s="61"/>
      <c r="AM74" s="61"/>
      <c r="AN74" s="61"/>
      <c r="AO74" s="61"/>
      <c r="AP74" s="61"/>
      <c r="AQ74" s="61"/>
      <c r="AR74" s="61"/>
      <c r="AS74" s="61"/>
      <c r="AT74" s="61"/>
      <c r="AU74" s="61"/>
      <c r="AV74" s="61"/>
      <c r="AW74" s="61"/>
      <c r="AX74" s="61"/>
      <c r="AY74" s="61"/>
      <c r="AZ74" s="134"/>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4"/>
      <c r="S75" s="61"/>
      <c r="T75" s="61"/>
      <c r="U75" s="61"/>
      <c r="V75" s="61"/>
      <c r="W75" s="61"/>
      <c r="X75" s="61"/>
      <c r="Y75" s="61"/>
      <c r="Z75" s="61"/>
      <c r="AA75" s="61"/>
      <c r="AB75" s="61"/>
      <c r="AC75" s="61"/>
      <c r="AD75" s="61"/>
      <c r="AE75" s="144"/>
      <c r="AF75" s="61"/>
      <c r="AG75" s="61"/>
      <c r="AH75" s="61"/>
      <c r="AI75" s="61"/>
      <c r="AJ75" s="61"/>
      <c r="AK75" s="61"/>
      <c r="AL75" s="61"/>
      <c r="AM75" s="61"/>
      <c r="AN75" s="61"/>
      <c r="AO75" s="61"/>
      <c r="AP75" s="61"/>
      <c r="AQ75" s="61"/>
      <c r="AR75" s="61"/>
      <c r="AS75" s="61"/>
      <c r="AT75" s="61"/>
      <c r="AU75" s="61"/>
      <c r="AV75" s="61"/>
      <c r="AW75" s="61"/>
      <c r="AX75" s="61"/>
      <c r="AY75" s="61"/>
      <c r="AZ75" s="134"/>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4"/>
      <c r="S76" s="61"/>
      <c r="T76" s="61"/>
      <c r="U76" s="61"/>
      <c r="V76" s="61"/>
      <c r="W76" s="61"/>
      <c r="X76" s="61"/>
      <c r="Y76" s="61"/>
      <c r="Z76" s="61"/>
      <c r="AA76" s="61"/>
      <c r="AB76" s="61"/>
      <c r="AC76" s="61"/>
      <c r="AD76" s="61"/>
      <c r="AE76" s="144"/>
      <c r="AF76" s="61"/>
      <c r="AG76" s="61"/>
      <c r="AH76" s="61"/>
      <c r="AI76" s="61"/>
      <c r="AJ76" s="61"/>
      <c r="AK76" s="61"/>
      <c r="AL76" s="61"/>
      <c r="AM76" s="61"/>
      <c r="AN76" s="61"/>
      <c r="AO76" s="61"/>
      <c r="AP76" s="61"/>
      <c r="AQ76" s="61"/>
      <c r="AR76" s="61"/>
      <c r="AS76" s="61"/>
      <c r="AT76" s="61"/>
      <c r="AU76" s="61"/>
      <c r="AV76" s="61"/>
      <c r="AW76" s="61"/>
      <c r="AX76" s="61"/>
      <c r="AY76" s="61"/>
      <c r="AZ76" s="134"/>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4"/>
      <c r="S77" s="61"/>
      <c r="T77" s="61"/>
      <c r="U77" s="61"/>
      <c r="V77" s="61"/>
      <c r="W77" s="61"/>
      <c r="X77" s="61"/>
      <c r="Y77" s="61"/>
      <c r="Z77" s="61"/>
      <c r="AA77" s="61"/>
      <c r="AB77" s="61"/>
      <c r="AC77" s="61"/>
      <c r="AD77" s="61"/>
      <c r="AE77" s="144"/>
      <c r="AF77" s="61"/>
      <c r="AG77" s="61"/>
      <c r="AH77" s="61"/>
      <c r="AI77" s="61"/>
      <c r="AJ77" s="61"/>
      <c r="AK77" s="61"/>
      <c r="AL77" s="61"/>
      <c r="AM77" s="61"/>
      <c r="AN77" s="61"/>
      <c r="AO77" s="61"/>
      <c r="AP77" s="61"/>
      <c r="AQ77" s="61"/>
      <c r="AR77" s="61"/>
      <c r="AS77" s="61"/>
      <c r="AT77" s="61"/>
      <c r="AU77" s="61"/>
      <c r="AV77" s="61"/>
      <c r="AW77" s="61"/>
      <c r="AX77" s="61"/>
      <c r="AY77" s="61"/>
      <c r="AZ77" s="134"/>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4"/>
      <c r="S78" s="61"/>
      <c r="T78" s="61"/>
      <c r="U78" s="61"/>
      <c r="V78" s="61"/>
      <c r="W78" s="61"/>
      <c r="X78" s="61"/>
      <c r="Y78" s="61"/>
      <c r="Z78" s="61"/>
      <c r="AA78" s="61"/>
      <c r="AB78" s="61"/>
      <c r="AC78" s="61"/>
      <c r="AD78" s="61"/>
      <c r="AE78" s="144"/>
      <c r="AF78" s="61"/>
      <c r="AG78" s="61"/>
      <c r="AH78" s="61"/>
      <c r="AI78" s="61"/>
      <c r="AJ78" s="61"/>
      <c r="AK78" s="61"/>
      <c r="AL78" s="61"/>
      <c r="AM78" s="61"/>
      <c r="AN78" s="61"/>
      <c r="AO78" s="61"/>
      <c r="AP78" s="61"/>
      <c r="AQ78" s="61"/>
      <c r="AR78" s="61"/>
      <c r="AS78" s="61"/>
      <c r="AT78" s="61"/>
      <c r="AU78" s="61"/>
      <c r="AV78" s="61"/>
      <c r="AW78" s="61"/>
      <c r="AX78" s="61"/>
      <c r="AY78" s="61"/>
      <c r="AZ78" s="134"/>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4"/>
      <c r="S79" s="61"/>
      <c r="T79" s="61"/>
      <c r="U79" s="61"/>
      <c r="V79" s="61"/>
      <c r="W79" s="61"/>
      <c r="X79" s="61"/>
      <c r="Y79" s="61"/>
      <c r="Z79" s="61"/>
      <c r="AA79" s="61"/>
      <c r="AB79" s="61"/>
      <c r="AC79" s="61"/>
      <c r="AD79" s="61"/>
      <c r="AE79" s="144"/>
      <c r="AF79" s="61"/>
      <c r="AG79" s="61"/>
      <c r="AH79" s="61"/>
      <c r="AI79" s="61"/>
      <c r="AJ79" s="61"/>
      <c r="AK79" s="61"/>
      <c r="AL79" s="61"/>
      <c r="AM79" s="61"/>
      <c r="AN79" s="61"/>
      <c r="AO79" s="61"/>
      <c r="AP79" s="61"/>
      <c r="AQ79" s="61"/>
      <c r="AR79" s="61"/>
      <c r="AS79" s="61"/>
      <c r="AT79" s="61"/>
      <c r="AU79" s="61"/>
      <c r="AV79" s="61"/>
      <c r="AW79" s="61"/>
      <c r="AX79" s="61"/>
      <c r="AY79" s="61"/>
      <c r="AZ79" s="134"/>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4"/>
      <c r="S80" s="61"/>
      <c r="T80" s="61"/>
      <c r="U80" s="61"/>
      <c r="V80" s="61"/>
      <c r="W80" s="61"/>
      <c r="X80" s="61"/>
      <c r="Y80" s="61"/>
      <c r="Z80" s="61"/>
      <c r="AA80" s="61"/>
      <c r="AB80" s="61"/>
      <c r="AC80" s="61"/>
      <c r="AD80" s="61"/>
      <c r="AE80" s="144"/>
      <c r="AF80" s="61"/>
      <c r="AG80" s="61"/>
      <c r="AH80" s="61"/>
      <c r="AI80" s="61"/>
      <c r="AJ80" s="61"/>
      <c r="AK80" s="61"/>
      <c r="AL80" s="61"/>
      <c r="AM80" s="61"/>
      <c r="AN80" s="61"/>
      <c r="AO80" s="61"/>
      <c r="AP80" s="61"/>
      <c r="AQ80" s="61"/>
      <c r="AR80" s="61"/>
      <c r="AS80" s="61"/>
      <c r="AT80" s="61"/>
      <c r="AU80" s="61"/>
      <c r="AV80" s="61"/>
      <c r="AW80" s="61"/>
      <c r="AX80" s="61"/>
      <c r="AY80" s="61"/>
      <c r="AZ80" s="134"/>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4"/>
      <c r="S81" s="61"/>
      <c r="T81" s="61"/>
      <c r="U81" s="61"/>
      <c r="V81" s="61"/>
      <c r="W81" s="61"/>
      <c r="X81" s="61"/>
      <c r="Y81" s="61"/>
      <c r="Z81" s="61"/>
      <c r="AA81" s="61"/>
      <c r="AB81" s="61"/>
      <c r="AC81" s="61"/>
      <c r="AD81" s="61"/>
      <c r="AE81" s="144"/>
      <c r="AF81" s="61"/>
      <c r="AG81" s="61"/>
      <c r="AH81" s="61"/>
      <c r="AI81" s="61"/>
      <c r="AJ81" s="61"/>
      <c r="AK81" s="61"/>
      <c r="AL81" s="61"/>
      <c r="AM81" s="61"/>
      <c r="AN81" s="61"/>
      <c r="AO81" s="61"/>
      <c r="AP81" s="61"/>
      <c r="AQ81" s="61"/>
      <c r="AR81" s="61"/>
      <c r="AS81" s="61"/>
      <c r="AT81" s="61"/>
      <c r="AU81" s="61"/>
      <c r="AV81" s="61"/>
      <c r="AW81" s="61"/>
      <c r="AX81" s="61"/>
      <c r="AY81" s="61"/>
      <c r="AZ81" s="134"/>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4"/>
      <c r="S82" s="61"/>
      <c r="T82" s="61"/>
      <c r="U82" s="61"/>
      <c r="V82" s="61"/>
      <c r="W82" s="61"/>
      <c r="X82" s="61"/>
      <c r="Y82" s="61"/>
      <c r="Z82" s="61"/>
      <c r="AA82" s="61"/>
      <c r="AB82" s="61"/>
      <c r="AC82" s="61"/>
      <c r="AD82" s="61"/>
      <c r="AE82" s="144"/>
      <c r="AF82" s="61"/>
      <c r="AG82" s="61"/>
      <c r="AH82" s="61"/>
      <c r="AI82" s="61"/>
      <c r="AJ82" s="61"/>
      <c r="AK82" s="61"/>
      <c r="AL82" s="61"/>
      <c r="AM82" s="61"/>
      <c r="AN82" s="61"/>
      <c r="AO82" s="61"/>
      <c r="AP82" s="61"/>
      <c r="AQ82" s="61"/>
      <c r="AR82" s="61"/>
      <c r="AS82" s="61"/>
      <c r="AT82" s="61"/>
      <c r="AU82" s="61"/>
      <c r="AV82" s="61"/>
      <c r="AW82" s="61"/>
      <c r="AX82" s="61"/>
      <c r="AY82" s="61"/>
      <c r="AZ82" s="134"/>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4"/>
      <c r="S83" s="61"/>
      <c r="T83" s="61"/>
      <c r="U83" s="61"/>
      <c r="V83" s="61"/>
      <c r="W83" s="61"/>
      <c r="X83" s="61"/>
      <c r="Y83" s="61"/>
      <c r="Z83" s="61"/>
      <c r="AA83" s="61"/>
      <c r="AB83" s="61"/>
      <c r="AC83" s="61"/>
      <c r="AD83" s="61"/>
      <c r="AE83" s="144"/>
      <c r="AF83" s="61"/>
      <c r="AG83" s="61"/>
      <c r="AH83" s="61"/>
      <c r="AI83" s="61"/>
      <c r="AJ83" s="61"/>
      <c r="AK83" s="61"/>
      <c r="AL83" s="61"/>
      <c r="AM83" s="61"/>
      <c r="AN83" s="61"/>
      <c r="AO83" s="61"/>
      <c r="AP83" s="61"/>
      <c r="AQ83" s="61"/>
      <c r="AR83" s="61"/>
      <c r="AS83" s="61"/>
      <c r="AT83" s="61"/>
      <c r="AU83" s="61"/>
      <c r="AV83" s="61"/>
      <c r="AW83" s="61"/>
      <c r="AX83" s="61"/>
      <c r="AY83" s="61"/>
      <c r="AZ83" s="134"/>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4"/>
      <c r="S84" s="61"/>
      <c r="T84" s="61"/>
      <c r="U84" s="61"/>
      <c r="V84" s="61"/>
      <c r="W84" s="61"/>
      <c r="X84" s="61"/>
      <c r="Y84" s="61"/>
      <c r="Z84" s="61"/>
      <c r="AA84" s="61"/>
      <c r="AB84" s="61"/>
      <c r="AC84" s="61"/>
      <c r="AD84" s="61"/>
      <c r="AE84" s="144"/>
      <c r="AF84" s="61"/>
      <c r="AG84" s="61"/>
      <c r="AH84" s="61"/>
      <c r="AI84" s="61"/>
      <c r="AJ84" s="61"/>
      <c r="AK84" s="61"/>
      <c r="AL84" s="61"/>
      <c r="AM84" s="61"/>
      <c r="AN84" s="61"/>
      <c r="AO84" s="61"/>
      <c r="AP84" s="61"/>
      <c r="AQ84" s="61"/>
      <c r="AR84" s="61"/>
      <c r="AS84" s="61"/>
      <c r="AT84" s="61"/>
      <c r="AU84" s="61"/>
      <c r="AV84" s="61"/>
      <c r="AW84" s="61"/>
      <c r="AX84" s="61"/>
      <c r="AY84" s="61"/>
      <c r="AZ84" s="134"/>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4"/>
      <c r="S85" s="61"/>
      <c r="T85" s="61"/>
      <c r="U85" s="61"/>
      <c r="V85" s="61"/>
      <c r="W85" s="61"/>
      <c r="X85" s="61"/>
      <c r="Y85" s="61"/>
      <c r="Z85" s="61"/>
      <c r="AA85" s="61"/>
      <c r="AB85" s="61"/>
      <c r="AC85" s="61"/>
      <c r="AD85" s="61"/>
      <c r="AE85" s="144"/>
      <c r="AF85" s="61"/>
      <c r="AG85" s="61"/>
      <c r="AH85" s="61"/>
      <c r="AI85" s="61"/>
      <c r="AJ85" s="61"/>
      <c r="AK85" s="61"/>
      <c r="AL85" s="61"/>
      <c r="AM85" s="61"/>
      <c r="AN85" s="61"/>
      <c r="AO85" s="61"/>
      <c r="AP85" s="61"/>
      <c r="AQ85" s="61"/>
      <c r="AR85" s="61"/>
      <c r="AS85" s="61"/>
      <c r="AT85" s="61"/>
      <c r="AU85" s="61"/>
      <c r="AV85" s="61"/>
      <c r="AW85" s="61"/>
      <c r="AX85" s="61"/>
      <c r="AY85" s="61"/>
      <c r="AZ85" s="134"/>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4"/>
      <c r="S86" s="61"/>
      <c r="T86" s="61"/>
      <c r="U86" s="61"/>
      <c r="V86" s="61"/>
      <c r="W86" s="61"/>
      <c r="X86" s="61"/>
      <c r="Y86" s="61"/>
      <c r="Z86" s="61"/>
      <c r="AA86" s="61"/>
      <c r="AB86" s="61"/>
      <c r="AC86" s="61"/>
      <c r="AD86" s="61"/>
      <c r="AE86" s="144"/>
      <c r="AF86" s="61"/>
      <c r="AG86" s="61"/>
      <c r="AH86" s="61"/>
      <c r="AI86" s="61"/>
      <c r="AJ86" s="61"/>
      <c r="AK86" s="61"/>
      <c r="AL86" s="61"/>
      <c r="AM86" s="61"/>
      <c r="AN86" s="61"/>
      <c r="AO86" s="61"/>
      <c r="AP86" s="61"/>
      <c r="AQ86" s="61"/>
      <c r="AR86" s="61"/>
      <c r="AS86" s="61"/>
      <c r="AT86" s="61"/>
      <c r="AU86" s="61"/>
      <c r="AV86" s="61"/>
      <c r="AW86" s="61"/>
      <c r="AX86" s="61"/>
      <c r="AY86" s="61"/>
      <c r="AZ86" s="134"/>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4"/>
      <c r="S87" s="61"/>
      <c r="T87" s="61"/>
      <c r="U87" s="61"/>
      <c r="V87" s="61"/>
      <c r="W87" s="61"/>
      <c r="X87" s="61"/>
      <c r="Y87" s="61"/>
      <c r="Z87" s="61"/>
      <c r="AA87" s="61"/>
      <c r="AB87" s="61"/>
      <c r="AC87" s="61"/>
      <c r="AD87" s="61"/>
      <c r="AE87" s="144"/>
      <c r="AF87" s="61"/>
      <c r="AG87" s="61"/>
      <c r="AH87" s="61"/>
      <c r="AI87" s="61"/>
      <c r="AJ87" s="61"/>
      <c r="AK87" s="61"/>
      <c r="AL87" s="61"/>
      <c r="AM87" s="61"/>
      <c r="AN87" s="61"/>
      <c r="AO87" s="61"/>
      <c r="AP87" s="61"/>
      <c r="AQ87" s="61"/>
      <c r="AR87" s="61"/>
      <c r="AS87" s="61"/>
      <c r="AT87" s="61"/>
      <c r="AU87" s="61"/>
      <c r="AV87" s="61"/>
      <c r="AW87" s="61"/>
      <c r="AX87" s="61"/>
      <c r="AY87" s="61"/>
      <c r="AZ87" s="134"/>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4"/>
      <c r="S88" s="61"/>
      <c r="T88" s="61"/>
      <c r="U88" s="61"/>
      <c r="V88" s="61"/>
      <c r="W88" s="61"/>
      <c r="X88" s="61"/>
      <c r="Y88" s="61"/>
      <c r="Z88" s="61"/>
      <c r="AA88" s="61"/>
      <c r="AB88" s="61"/>
      <c r="AC88" s="61"/>
      <c r="AD88" s="61"/>
      <c r="AE88" s="144"/>
      <c r="AF88" s="61"/>
      <c r="AG88" s="61"/>
      <c r="AH88" s="61"/>
      <c r="AI88" s="61"/>
      <c r="AJ88" s="61"/>
      <c r="AK88" s="61"/>
      <c r="AL88" s="61"/>
      <c r="AM88" s="61"/>
      <c r="AN88" s="61"/>
      <c r="AO88" s="61"/>
      <c r="AP88" s="61"/>
      <c r="AQ88" s="61"/>
      <c r="AR88" s="61"/>
      <c r="AS88" s="61"/>
      <c r="AT88" s="61"/>
      <c r="AU88" s="61"/>
      <c r="AV88" s="61"/>
      <c r="AW88" s="61"/>
      <c r="AX88" s="61"/>
      <c r="AY88" s="61"/>
      <c r="AZ88" s="134"/>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4"/>
      <c r="S89" s="61"/>
      <c r="T89" s="61"/>
      <c r="U89" s="61"/>
      <c r="V89" s="61"/>
      <c r="W89" s="61"/>
      <c r="X89" s="61"/>
      <c r="Y89" s="61"/>
      <c r="Z89" s="61"/>
      <c r="AA89" s="61"/>
      <c r="AB89" s="61"/>
      <c r="AC89" s="61"/>
      <c r="AD89" s="61"/>
      <c r="AE89" s="144"/>
      <c r="AF89" s="61"/>
      <c r="AG89" s="61"/>
      <c r="AH89" s="61"/>
      <c r="AI89" s="61"/>
      <c r="AJ89" s="61"/>
      <c r="AK89" s="61"/>
      <c r="AL89" s="61"/>
      <c r="AM89" s="61"/>
      <c r="AN89" s="61"/>
      <c r="AO89" s="61"/>
      <c r="AP89" s="61"/>
      <c r="AQ89" s="61"/>
      <c r="AR89" s="61"/>
      <c r="AS89" s="61"/>
      <c r="AT89" s="61"/>
      <c r="AU89" s="61"/>
      <c r="AV89" s="61"/>
      <c r="AW89" s="61"/>
      <c r="AX89" s="61"/>
      <c r="AY89" s="61"/>
      <c r="AZ89" s="134"/>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4"/>
      <c r="S90" s="61"/>
      <c r="T90" s="61"/>
      <c r="U90" s="61"/>
      <c r="V90" s="61"/>
      <c r="W90" s="61"/>
      <c r="X90" s="61"/>
      <c r="Y90" s="61"/>
      <c r="Z90" s="61"/>
      <c r="AA90" s="61"/>
      <c r="AB90" s="61"/>
      <c r="AC90" s="61"/>
      <c r="AD90" s="61"/>
      <c r="AE90" s="144"/>
      <c r="AF90" s="61"/>
      <c r="AG90" s="61"/>
      <c r="AH90" s="61"/>
      <c r="AI90" s="61"/>
      <c r="AJ90" s="61"/>
      <c r="AK90" s="61"/>
      <c r="AL90" s="61"/>
      <c r="AM90" s="61"/>
      <c r="AN90" s="61"/>
      <c r="AO90" s="61"/>
      <c r="AP90" s="61"/>
      <c r="AQ90" s="61"/>
      <c r="AR90" s="61"/>
      <c r="AS90" s="61"/>
      <c r="AT90" s="61"/>
      <c r="AU90" s="61"/>
      <c r="AV90" s="61"/>
      <c r="AW90" s="61"/>
      <c r="AX90" s="61"/>
      <c r="AY90" s="61"/>
      <c r="AZ90" s="134"/>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4"/>
      <c r="S91" s="61"/>
      <c r="T91" s="61"/>
      <c r="U91" s="61"/>
      <c r="V91" s="61"/>
      <c r="W91" s="61"/>
      <c r="X91" s="61"/>
      <c r="Y91" s="61"/>
      <c r="Z91" s="61"/>
      <c r="AA91" s="61"/>
      <c r="AB91" s="61"/>
      <c r="AC91" s="61"/>
      <c r="AD91" s="61"/>
      <c r="AE91" s="144"/>
      <c r="AF91" s="61"/>
      <c r="AG91" s="61"/>
      <c r="AH91" s="61"/>
      <c r="AI91" s="61"/>
      <c r="AJ91" s="61"/>
      <c r="AK91" s="61"/>
      <c r="AL91" s="61"/>
      <c r="AM91" s="61"/>
      <c r="AN91" s="61"/>
      <c r="AO91" s="61"/>
      <c r="AP91" s="61"/>
      <c r="AQ91" s="61"/>
      <c r="AR91" s="61"/>
      <c r="AS91" s="61"/>
      <c r="AT91" s="61"/>
      <c r="AU91" s="61"/>
      <c r="AV91" s="61"/>
      <c r="AW91" s="61"/>
      <c r="AX91" s="61"/>
      <c r="AY91" s="61"/>
      <c r="AZ91" s="134"/>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4"/>
      <c r="S92" s="61"/>
      <c r="T92" s="61"/>
      <c r="U92" s="61"/>
      <c r="V92" s="61"/>
      <c r="W92" s="61"/>
      <c r="X92" s="61"/>
      <c r="Y92" s="61"/>
      <c r="Z92" s="61"/>
      <c r="AA92" s="61"/>
      <c r="AB92" s="61"/>
      <c r="AC92" s="61"/>
      <c r="AD92" s="61"/>
      <c r="AE92" s="144"/>
      <c r="AF92" s="61"/>
      <c r="AG92" s="61"/>
      <c r="AH92" s="61"/>
      <c r="AI92" s="61"/>
      <c r="AJ92" s="61"/>
      <c r="AK92" s="61"/>
      <c r="AL92" s="61"/>
      <c r="AM92" s="61"/>
      <c r="AN92" s="61"/>
      <c r="AO92" s="61"/>
      <c r="AP92" s="61"/>
      <c r="AQ92" s="61"/>
      <c r="AR92" s="61"/>
      <c r="AS92" s="61"/>
      <c r="AT92" s="61"/>
      <c r="AU92" s="61"/>
      <c r="AV92" s="61"/>
      <c r="AW92" s="61"/>
      <c r="AX92" s="61"/>
      <c r="AY92" s="61"/>
      <c r="AZ92" s="134"/>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4"/>
      <c r="S93" s="61"/>
      <c r="T93" s="61"/>
      <c r="U93" s="61"/>
      <c r="V93" s="61"/>
      <c r="W93" s="61"/>
      <c r="X93" s="61"/>
      <c r="Y93" s="61"/>
      <c r="Z93" s="61"/>
      <c r="AA93" s="61"/>
      <c r="AB93" s="61"/>
      <c r="AC93" s="61"/>
      <c r="AD93" s="61"/>
      <c r="AE93" s="144"/>
      <c r="AF93" s="61"/>
      <c r="AG93" s="61"/>
      <c r="AH93" s="61"/>
      <c r="AI93" s="61"/>
      <c r="AJ93" s="61"/>
      <c r="AK93" s="61"/>
      <c r="AL93" s="61"/>
      <c r="AM93" s="61"/>
      <c r="AN93" s="61"/>
      <c r="AO93" s="61"/>
      <c r="AP93" s="61"/>
      <c r="AQ93" s="61"/>
      <c r="AR93" s="61"/>
      <c r="AS93" s="61"/>
      <c r="AT93" s="61"/>
      <c r="AU93" s="61"/>
      <c r="AV93" s="61"/>
      <c r="AW93" s="61"/>
      <c r="AX93" s="61"/>
      <c r="AY93" s="61"/>
      <c r="AZ93" s="134"/>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4"/>
      <c r="S94" s="61"/>
      <c r="T94" s="61"/>
      <c r="U94" s="61"/>
      <c r="V94" s="61"/>
      <c r="W94" s="61"/>
      <c r="X94" s="61"/>
      <c r="Y94" s="61"/>
      <c r="Z94" s="61"/>
      <c r="AA94" s="61"/>
      <c r="AB94" s="61"/>
      <c r="AC94" s="61"/>
      <c r="AD94" s="61"/>
      <c r="AE94" s="144"/>
      <c r="AF94" s="61"/>
      <c r="AG94" s="61"/>
      <c r="AH94" s="61"/>
      <c r="AI94" s="61"/>
      <c r="AJ94" s="61"/>
      <c r="AK94" s="61"/>
      <c r="AL94" s="61"/>
      <c r="AM94" s="61"/>
      <c r="AN94" s="61"/>
      <c r="AO94" s="61"/>
      <c r="AP94" s="61"/>
      <c r="AQ94" s="61"/>
      <c r="AR94" s="61"/>
      <c r="AS94" s="61"/>
      <c r="AT94" s="61"/>
      <c r="AU94" s="61"/>
      <c r="AV94" s="61"/>
      <c r="AW94" s="61"/>
      <c r="AX94" s="61"/>
      <c r="AY94" s="61"/>
      <c r="AZ94" s="134"/>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4"/>
      <c r="S95" s="61"/>
      <c r="T95" s="61"/>
      <c r="U95" s="61"/>
      <c r="V95" s="61"/>
      <c r="W95" s="61"/>
      <c r="X95" s="61"/>
      <c r="Y95" s="61"/>
      <c r="Z95" s="61"/>
      <c r="AA95" s="61"/>
      <c r="AB95" s="61"/>
      <c r="AC95" s="61"/>
      <c r="AD95" s="61"/>
      <c r="AE95" s="144"/>
      <c r="AF95" s="61"/>
      <c r="AG95" s="61"/>
      <c r="AH95" s="61"/>
      <c r="AI95" s="61"/>
      <c r="AJ95" s="61"/>
      <c r="AK95" s="61"/>
      <c r="AL95" s="61"/>
      <c r="AM95" s="61"/>
      <c r="AN95" s="61"/>
      <c r="AO95" s="61"/>
      <c r="AP95" s="61"/>
      <c r="AQ95" s="61"/>
      <c r="AR95" s="61"/>
      <c r="AS95" s="61"/>
      <c r="AT95" s="61"/>
      <c r="AU95" s="61"/>
      <c r="AV95" s="61"/>
      <c r="AW95" s="61"/>
      <c r="AX95" s="61"/>
      <c r="AY95" s="61"/>
      <c r="AZ95" s="134"/>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4"/>
      <c r="S96" s="61"/>
      <c r="T96" s="61"/>
      <c r="U96" s="61"/>
      <c r="V96" s="61"/>
      <c r="W96" s="61"/>
      <c r="X96" s="61"/>
      <c r="Y96" s="61"/>
      <c r="Z96" s="61"/>
      <c r="AA96" s="61"/>
      <c r="AB96" s="61"/>
      <c r="AC96" s="61"/>
      <c r="AD96" s="61"/>
      <c r="AE96" s="144"/>
      <c r="AF96" s="61"/>
      <c r="AG96" s="61"/>
      <c r="AH96" s="61"/>
      <c r="AI96" s="61"/>
      <c r="AJ96" s="61"/>
      <c r="AK96" s="61"/>
      <c r="AL96" s="61"/>
      <c r="AM96" s="61"/>
      <c r="AN96" s="61"/>
      <c r="AO96" s="61"/>
      <c r="AP96" s="61"/>
      <c r="AQ96" s="61"/>
      <c r="AR96" s="61"/>
      <c r="AS96" s="61"/>
      <c r="AT96" s="61"/>
      <c r="AU96" s="61"/>
      <c r="AV96" s="61"/>
      <c r="AW96" s="61"/>
      <c r="AX96" s="61"/>
      <c r="AY96" s="61"/>
      <c r="AZ96" s="134"/>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4"/>
      <c r="S97" s="61"/>
      <c r="T97" s="61"/>
      <c r="U97" s="61"/>
      <c r="V97" s="61"/>
      <c r="W97" s="61"/>
      <c r="X97" s="61"/>
      <c r="Y97" s="61"/>
      <c r="Z97" s="61"/>
      <c r="AA97" s="61"/>
      <c r="AB97" s="61"/>
      <c r="AC97" s="61"/>
      <c r="AD97" s="61"/>
      <c r="AE97" s="144"/>
      <c r="AF97" s="61"/>
      <c r="AG97" s="61"/>
      <c r="AH97" s="61"/>
      <c r="AI97" s="61"/>
      <c r="AJ97" s="61"/>
      <c r="AK97" s="61"/>
      <c r="AL97" s="61"/>
      <c r="AM97" s="61"/>
      <c r="AN97" s="61"/>
      <c r="AO97" s="61"/>
      <c r="AP97" s="61"/>
      <c r="AQ97" s="61"/>
      <c r="AR97" s="61"/>
      <c r="AS97" s="61"/>
      <c r="AT97" s="61"/>
      <c r="AU97" s="61"/>
      <c r="AV97" s="61"/>
      <c r="AW97" s="61"/>
      <c r="AX97" s="61"/>
      <c r="AY97" s="61"/>
      <c r="AZ97" s="134"/>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4"/>
      <c r="S98" s="61"/>
      <c r="T98" s="61"/>
      <c r="U98" s="61"/>
      <c r="V98" s="61"/>
      <c r="W98" s="61"/>
      <c r="X98" s="61"/>
      <c r="Y98" s="61"/>
      <c r="Z98" s="61"/>
      <c r="AA98" s="61"/>
      <c r="AB98" s="61"/>
      <c r="AC98" s="61"/>
      <c r="AD98" s="61"/>
      <c r="AE98" s="144"/>
      <c r="AF98" s="61"/>
      <c r="AG98" s="61"/>
      <c r="AH98" s="61"/>
      <c r="AI98" s="61"/>
      <c r="AJ98" s="61"/>
      <c r="AK98" s="61"/>
      <c r="AL98" s="61"/>
      <c r="AM98" s="61"/>
      <c r="AN98" s="61"/>
      <c r="AO98" s="61"/>
      <c r="AP98" s="61"/>
      <c r="AQ98" s="61"/>
      <c r="AR98" s="61"/>
      <c r="AS98" s="61"/>
      <c r="AT98" s="61"/>
      <c r="AU98" s="61"/>
      <c r="AV98" s="61"/>
      <c r="AW98" s="61"/>
      <c r="AX98" s="61"/>
      <c r="AY98" s="61"/>
      <c r="AZ98" s="134"/>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4"/>
      <c r="S99" s="61"/>
      <c r="T99" s="61"/>
      <c r="U99" s="61"/>
      <c r="V99" s="61"/>
      <c r="W99" s="61"/>
      <c r="X99" s="61"/>
      <c r="Y99" s="61"/>
      <c r="Z99" s="61"/>
      <c r="AA99" s="61"/>
      <c r="AB99" s="61"/>
      <c r="AC99" s="61"/>
      <c r="AD99" s="61"/>
      <c r="AE99" s="144"/>
      <c r="AF99" s="61"/>
      <c r="AG99" s="61"/>
      <c r="AH99" s="61"/>
      <c r="AI99" s="61"/>
      <c r="AJ99" s="61"/>
      <c r="AK99" s="61"/>
      <c r="AL99" s="61"/>
      <c r="AM99" s="61"/>
      <c r="AN99" s="61"/>
      <c r="AO99" s="61"/>
      <c r="AP99" s="61"/>
      <c r="AQ99" s="61"/>
      <c r="AR99" s="61"/>
      <c r="AS99" s="61"/>
      <c r="AT99" s="61"/>
      <c r="AU99" s="61"/>
      <c r="AV99" s="61"/>
      <c r="AW99" s="61"/>
      <c r="AX99" s="61"/>
      <c r="AY99" s="61"/>
      <c r="AZ99" s="134"/>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4"/>
      <c r="S100" s="61"/>
      <c r="T100" s="61"/>
      <c r="U100" s="61"/>
      <c r="V100" s="61"/>
      <c r="W100" s="61"/>
      <c r="X100" s="61"/>
      <c r="Y100" s="61"/>
      <c r="Z100" s="61"/>
      <c r="AA100" s="61"/>
      <c r="AB100" s="61"/>
      <c r="AC100" s="61"/>
      <c r="AD100" s="61"/>
      <c r="AE100" s="144"/>
      <c r="AF100" s="61"/>
      <c r="AG100" s="61"/>
      <c r="AH100" s="61"/>
      <c r="AI100" s="61"/>
      <c r="AJ100" s="61"/>
      <c r="AK100" s="61"/>
      <c r="AL100" s="61"/>
      <c r="AM100" s="61"/>
      <c r="AN100" s="61"/>
      <c r="AO100" s="61"/>
      <c r="AP100" s="61"/>
      <c r="AQ100" s="61"/>
      <c r="AR100" s="61"/>
      <c r="AS100" s="61"/>
      <c r="AT100" s="61"/>
      <c r="AU100" s="61"/>
      <c r="AV100" s="61"/>
      <c r="AW100" s="61"/>
      <c r="AX100" s="61"/>
      <c r="AY100" s="61"/>
      <c r="AZ100" s="134"/>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4"/>
      <c r="S101" s="61"/>
      <c r="T101" s="61"/>
      <c r="U101" s="61"/>
      <c r="V101" s="61"/>
      <c r="W101" s="61"/>
      <c r="X101" s="61"/>
      <c r="Y101" s="61"/>
      <c r="Z101" s="61"/>
      <c r="AA101" s="61"/>
      <c r="AB101" s="61"/>
      <c r="AC101" s="61"/>
      <c r="AD101" s="61"/>
      <c r="AE101" s="144"/>
      <c r="AF101" s="61"/>
      <c r="AG101" s="61"/>
      <c r="AH101" s="61"/>
      <c r="AI101" s="61"/>
      <c r="AJ101" s="61"/>
      <c r="AK101" s="61"/>
      <c r="AL101" s="61"/>
      <c r="AM101" s="61"/>
      <c r="AN101" s="61"/>
      <c r="AO101" s="61"/>
      <c r="AP101" s="61"/>
      <c r="AQ101" s="61"/>
      <c r="AR101" s="61"/>
      <c r="AS101" s="61"/>
      <c r="AT101" s="61"/>
      <c r="AU101" s="61"/>
      <c r="AV101" s="61"/>
      <c r="AW101" s="61"/>
      <c r="AX101" s="61"/>
      <c r="AY101" s="61"/>
      <c r="AZ101" s="134"/>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4"/>
      <c r="S102" s="61"/>
      <c r="T102" s="61"/>
      <c r="U102" s="61"/>
      <c r="V102" s="61"/>
      <c r="W102" s="61"/>
      <c r="X102" s="61"/>
      <c r="Y102" s="61"/>
      <c r="Z102" s="61"/>
      <c r="AA102" s="61"/>
      <c r="AB102" s="61"/>
      <c r="AC102" s="61"/>
      <c r="AD102" s="61"/>
      <c r="AE102" s="144"/>
      <c r="AF102" s="61"/>
      <c r="AG102" s="61"/>
      <c r="AH102" s="61"/>
      <c r="AI102" s="61"/>
      <c r="AJ102" s="61"/>
      <c r="AK102" s="61"/>
      <c r="AL102" s="61"/>
      <c r="AM102" s="61"/>
      <c r="AN102" s="61"/>
      <c r="AO102" s="61"/>
      <c r="AP102" s="61"/>
      <c r="AQ102" s="61"/>
      <c r="AR102" s="61"/>
      <c r="AS102" s="61"/>
      <c r="AT102" s="61"/>
      <c r="AU102" s="61"/>
      <c r="AV102" s="61"/>
      <c r="AW102" s="61"/>
      <c r="AX102" s="61"/>
      <c r="AY102" s="61"/>
      <c r="AZ102" s="134"/>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4"/>
      <c r="S103" s="61"/>
      <c r="T103" s="61"/>
      <c r="U103" s="61"/>
      <c r="V103" s="61"/>
      <c r="W103" s="61"/>
      <c r="X103" s="61"/>
      <c r="Y103" s="61"/>
      <c r="Z103" s="61"/>
      <c r="AA103" s="61"/>
      <c r="AB103" s="61"/>
      <c r="AC103" s="61"/>
      <c r="AD103" s="61"/>
      <c r="AE103" s="144"/>
      <c r="AF103" s="61"/>
      <c r="AG103" s="61"/>
      <c r="AH103" s="61"/>
      <c r="AI103" s="61"/>
      <c r="AJ103" s="61"/>
      <c r="AK103" s="61"/>
      <c r="AL103" s="61"/>
      <c r="AM103" s="61"/>
      <c r="AN103" s="61"/>
      <c r="AO103" s="61"/>
      <c r="AP103" s="61"/>
      <c r="AQ103" s="61"/>
      <c r="AR103" s="61"/>
      <c r="AS103" s="61"/>
      <c r="AT103" s="61"/>
      <c r="AU103" s="61"/>
      <c r="AV103" s="61"/>
      <c r="AW103" s="61"/>
      <c r="AX103" s="61"/>
      <c r="AY103" s="61"/>
      <c r="AZ103" s="134"/>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4"/>
      <c r="S104" s="61"/>
      <c r="T104" s="61"/>
      <c r="U104" s="61"/>
      <c r="V104" s="61"/>
      <c r="W104" s="61"/>
      <c r="X104" s="61"/>
      <c r="Y104" s="61"/>
      <c r="Z104" s="61"/>
      <c r="AA104" s="61"/>
      <c r="AB104" s="61"/>
      <c r="AC104" s="61"/>
      <c r="AD104" s="61"/>
      <c r="AE104" s="144"/>
      <c r="AF104" s="61"/>
      <c r="AG104" s="61"/>
      <c r="AH104" s="61"/>
      <c r="AI104" s="61"/>
      <c r="AJ104" s="61"/>
      <c r="AK104" s="61"/>
      <c r="AL104" s="61"/>
      <c r="AM104" s="61"/>
      <c r="AN104" s="61"/>
      <c r="AO104" s="61"/>
      <c r="AP104" s="61"/>
      <c r="AQ104" s="61"/>
      <c r="AR104" s="61"/>
      <c r="AS104" s="61"/>
      <c r="AT104" s="61"/>
      <c r="AU104" s="61"/>
      <c r="AV104" s="61"/>
      <c r="AW104" s="61"/>
      <c r="AX104" s="61"/>
      <c r="AY104" s="61"/>
      <c r="AZ104" s="134"/>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4"/>
      <c r="S105" s="61"/>
      <c r="T105" s="61"/>
      <c r="U105" s="61"/>
      <c r="V105" s="61"/>
      <c r="W105" s="61"/>
      <c r="X105" s="61"/>
      <c r="Y105" s="61"/>
      <c r="Z105" s="61"/>
      <c r="AA105" s="61"/>
      <c r="AB105" s="61"/>
      <c r="AC105" s="61"/>
      <c r="AD105" s="61"/>
      <c r="AE105" s="144"/>
      <c r="AF105" s="61"/>
      <c r="AG105" s="61"/>
      <c r="AH105" s="61"/>
      <c r="AI105" s="61"/>
      <c r="AJ105" s="61"/>
      <c r="AK105" s="61"/>
      <c r="AL105" s="61"/>
      <c r="AM105" s="61"/>
      <c r="AN105" s="61"/>
      <c r="AO105" s="61"/>
      <c r="AP105" s="61"/>
      <c r="AQ105" s="61"/>
      <c r="AR105" s="61"/>
      <c r="AS105" s="61"/>
      <c r="AT105" s="61"/>
      <c r="AU105" s="61"/>
      <c r="AV105" s="61"/>
      <c r="AW105" s="61"/>
      <c r="AX105" s="61"/>
      <c r="AY105" s="61"/>
      <c r="AZ105" s="134"/>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4"/>
      <c r="S106" s="61"/>
      <c r="T106" s="61"/>
      <c r="U106" s="61"/>
      <c r="V106" s="61"/>
      <c r="W106" s="61"/>
      <c r="X106" s="61"/>
      <c r="Y106" s="61"/>
      <c r="Z106" s="61"/>
      <c r="AA106" s="61"/>
      <c r="AB106" s="61"/>
      <c r="AC106" s="61"/>
      <c r="AD106" s="61"/>
      <c r="AE106" s="144"/>
      <c r="AF106" s="61"/>
      <c r="AG106" s="61"/>
      <c r="AH106" s="61"/>
      <c r="AI106" s="61"/>
      <c r="AJ106" s="61"/>
      <c r="AK106" s="61"/>
      <c r="AL106" s="61"/>
      <c r="AM106" s="61"/>
      <c r="AN106" s="61"/>
      <c r="AO106" s="61"/>
      <c r="AP106" s="61"/>
      <c r="AQ106" s="61"/>
      <c r="AR106" s="61"/>
      <c r="AS106" s="61"/>
      <c r="AT106" s="61"/>
      <c r="AU106" s="61"/>
      <c r="AV106" s="61"/>
      <c r="AW106" s="61"/>
      <c r="AX106" s="61"/>
      <c r="AY106" s="61"/>
      <c r="AZ106" s="134"/>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4"/>
      <c r="S107" s="61"/>
      <c r="T107" s="61"/>
      <c r="U107" s="61"/>
      <c r="V107" s="61"/>
      <c r="W107" s="61"/>
      <c r="X107" s="61"/>
      <c r="Y107" s="61"/>
      <c r="Z107" s="61"/>
      <c r="AA107" s="61"/>
      <c r="AB107" s="61"/>
      <c r="AC107" s="61"/>
      <c r="AD107" s="61"/>
      <c r="AE107" s="144"/>
      <c r="AF107" s="61"/>
      <c r="AG107" s="61"/>
      <c r="AH107" s="61"/>
      <c r="AI107" s="61"/>
      <c r="AJ107" s="61"/>
      <c r="AK107" s="61"/>
      <c r="AL107" s="61"/>
      <c r="AM107" s="61"/>
      <c r="AN107" s="61"/>
      <c r="AO107" s="61"/>
      <c r="AP107" s="61"/>
      <c r="AQ107" s="61"/>
      <c r="AR107" s="61"/>
      <c r="AS107" s="61"/>
      <c r="AT107" s="61"/>
      <c r="AU107" s="61"/>
      <c r="AV107" s="61"/>
      <c r="AW107" s="61"/>
      <c r="AX107" s="61"/>
      <c r="AY107" s="61"/>
      <c r="AZ107" s="134"/>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4"/>
      <c r="S108" s="61"/>
      <c r="T108" s="61"/>
      <c r="U108" s="61"/>
      <c r="V108" s="61"/>
      <c r="W108" s="61"/>
      <c r="X108" s="61"/>
      <c r="Y108" s="61"/>
      <c r="Z108" s="61"/>
      <c r="AA108" s="61"/>
      <c r="AB108" s="61"/>
      <c r="AC108" s="61"/>
      <c r="AD108" s="61"/>
      <c r="AE108" s="144"/>
      <c r="AF108" s="61"/>
      <c r="AG108" s="61"/>
      <c r="AH108" s="61"/>
      <c r="AI108" s="61"/>
      <c r="AJ108" s="61"/>
      <c r="AK108" s="61"/>
      <c r="AL108" s="61"/>
      <c r="AM108" s="61"/>
      <c r="AN108" s="61"/>
      <c r="AO108" s="61"/>
      <c r="AP108" s="61"/>
      <c r="AQ108" s="61"/>
      <c r="AR108" s="61"/>
      <c r="AS108" s="61"/>
      <c r="AT108" s="61"/>
      <c r="AU108" s="61"/>
      <c r="AV108" s="61"/>
      <c r="AW108" s="61"/>
      <c r="AX108" s="61"/>
      <c r="AY108" s="61"/>
      <c r="AZ108" s="134"/>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4"/>
      <c r="S109" s="61"/>
      <c r="T109" s="61"/>
      <c r="U109" s="61"/>
      <c r="V109" s="61"/>
      <c r="W109" s="61"/>
      <c r="X109" s="61"/>
      <c r="Y109" s="61"/>
      <c r="Z109" s="61"/>
      <c r="AA109" s="61"/>
      <c r="AB109" s="61"/>
      <c r="AC109" s="61"/>
      <c r="AD109" s="61"/>
      <c r="AE109" s="144"/>
      <c r="AF109" s="61"/>
      <c r="AG109" s="61"/>
      <c r="AH109" s="61"/>
      <c r="AI109" s="61"/>
      <c r="AJ109" s="61"/>
      <c r="AK109" s="61"/>
      <c r="AL109" s="61"/>
      <c r="AM109" s="61"/>
      <c r="AN109" s="61"/>
      <c r="AO109" s="61"/>
      <c r="AP109" s="61"/>
      <c r="AQ109" s="61"/>
      <c r="AR109" s="61"/>
      <c r="AS109" s="61"/>
      <c r="AT109" s="61"/>
      <c r="AU109" s="61"/>
      <c r="AV109" s="61"/>
      <c r="AW109" s="61"/>
      <c r="AX109" s="61"/>
      <c r="AY109" s="61"/>
      <c r="AZ109" s="134"/>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4"/>
      <c r="S110" s="61"/>
      <c r="T110" s="61"/>
      <c r="U110" s="61"/>
      <c r="V110" s="61"/>
      <c r="W110" s="61"/>
      <c r="X110" s="61"/>
      <c r="Y110" s="61"/>
      <c r="Z110" s="61"/>
      <c r="AA110" s="61"/>
      <c r="AB110" s="61"/>
      <c r="AC110" s="61"/>
      <c r="AD110" s="61"/>
      <c r="AE110" s="144"/>
      <c r="AF110" s="61"/>
      <c r="AG110" s="61"/>
      <c r="AH110" s="61"/>
      <c r="AI110" s="61"/>
      <c r="AJ110" s="61"/>
      <c r="AK110" s="61"/>
      <c r="AL110" s="61"/>
      <c r="AM110" s="61"/>
      <c r="AN110" s="61"/>
      <c r="AO110" s="61"/>
      <c r="AP110" s="61"/>
      <c r="AQ110" s="61"/>
      <c r="AR110" s="61"/>
      <c r="AS110" s="61"/>
      <c r="AT110" s="61"/>
      <c r="AU110" s="61"/>
      <c r="AV110" s="61"/>
      <c r="AW110" s="61"/>
      <c r="AX110" s="61"/>
      <c r="AY110" s="61"/>
      <c r="AZ110" s="134"/>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4"/>
      <c r="S111" s="61"/>
      <c r="T111" s="61"/>
      <c r="U111" s="61"/>
      <c r="V111" s="61"/>
      <c r="W111" s="61"/>
      <c r="X111" s="61"/>
      <c r="Y111" s="61"/>
      <c r="Z111" s="61"/>
      <c r="AA111" s="61"/>
      <c r="AB111" s="61"/>
      <c r="AC111" s="61"/>
      <c r="AD111" s="61"/>
      <c r="AE111" s="144"/>
      <c r="AF111" s="61"/>
      <c r="AG111" s="61"/>
      <c r="AH111" s="61"/>
      <c r="AI111" s="61"/>
      <c r="AJ111" s="61"/>
      <c r="AK111" s="61"/>
      <c r="AL111" s="61"/>
      <c r="AM111" s="61"/>
      <c r="AN111" s="61"/>
      <c r="AO111" s="61"/>
      <c r="AP111" s="61"/>
      <c r="AQ111" s="61"/>
      <c r="AR111" s="61"/>
      <c r="AS111" s="61"/>
      <c r="AT111" s="61"/>
      <c r="AU111" s="61"/>
      <c r="AV111" s="61"/>
      <c r="AW111" s="61"/>
      <c r="AX111" s="61"/>
      <c r="AY111" s="61"/>
      <c r="AZ111" s="134"/>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4"/>
      <c r="S112" s="61"/>
      <c r="T112" s="61"/>
      <c r="U112" s="61"/>
      <c r="V112" s="61"/>
      <c r="W112" s="61"/>
      <c r="X112" s="61"/>
      <c r="Y112" s="61"/>
      <c r="Z112" s="61"/>
      <c r="AA112" s="61"/>
      <c r="AB112" s="61"/>
      <c r="AC112" s="61"/>
      <c r="AD112" s="61"/>
      <c r="AE112" s="144"/>
      <c r="AF112" s="61"/>
      <c r="AG112" s="61"/>
      <c r="AH112" s="61"/>
      <c r="AI112" s="61"/>
      <c r="AJ112" s="61"/>
      <c r="AK112" s="61"/>
      <c r="AL112" s="61"/>
      <c r="AM112" s="61"/>
      <c r="AN112" s="61"/>
      <c r="AO112" s="61"/>
      <c r="AP112" s="61"/>
      <c r="AQ112" s="61"/>
      <c r="AR112" s="61"/>
      <c r="AS112" s="61"/>
      <c r="AT112" s="61"/>
      <c r="AU112" s="61"/>
      <c r="AV112" s="61"/>
      <c r="AW112" s="61"/>
      <c r="AX112" s="61"/>
      <c r="AY112" s="61"/>
      <c r="AZ112" s="134"/>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4"/>
      <c r="S113" s="61"/>
      <c r="T113" s="61"/>
      <c r="U113" s="61"/>
      <c r="V113" s="61"/>
      <c r="W113" s="61"/>
      <c r="X113" s="61"/>
      <c r="Y113" s="61"/>
      <c r="Z113" s="61"/>
      <c r="AA113" s="61"/>
      <c r="AB113" s="61"/>
      <c r="AC113" s="61"/>
      <c r="AD113" s="61"/>
      <c r="AE113" s="144"/>
      <c r="AF113" s="61"/>
      <c r="AG113" s="61"/>
      <c r="AH113" s="61"/>
      <c r="AI113" s="61"/>
      <c r="AJ113" s="61"/>
      <c r="AK113" s="61"/>
      <c r="AL113" s="61"/>
      <c r="AM113" s="61"/>
      <c r="AN113" s="61"/>
      <c r="AO113" s="61"/>
      <c r="AP113" s="61"/>
      <c r="AQ113" s="61"/>
      <c r="AR113" s="61"/>
      <c r="AS113" s="61"/>
      <c r="AT113" s="61"/>
      <c r="AU113" s="61"/>
      <c r="AV113" s="61"/>
      <c r="AW113" s="61"/>
      <c r="AX113" s="61"/>
      <c r="AY113" s="61"/>
      <c r="AZ113" s="134"/>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4"/>
      <c r="S114" s="61"/>
      <c r="T114" s="61"/>
      <c r="U114" s="61"/>
      <c r="V114" s="61"/>
      <c r="W114" s="61"/>
      <c r="X114" s="61"/>
      <c r="Y114" s="61"/>
      <c r="Z114" s="61"/>
      <c r="AA114" s="61"/>
      <c r="AB114" s="61"/>
      <c r="AC114" s="61"/>
      <c r="AD114" s="61"/>
      <c r="AE114" s="144"/>
      <c r="AF114" s="61"/>
      <c r="AG114" s="61"/>
      <c r="AH114" s="61"/>
      <c r="AI114" s="61"/>
      <c r="AJ114" s="61"/>
      <c r="AK114" s="61"/>
      <c r="AL114" s="61"/>
      <c r="AM114" s="61"/>
      <c r="AN114" s="61"/>
      <c r="AO114" s="61"/>
      <c r="AP114" s="61"/>
      <c r="AQ114" s="61"/>
      <c r="AR114" s="61"/>
      <c r="AS114" s="61"/>
      <c r="AT114" s="61"/>
      <c r="AU114" s="61"/>
      <c r="AV114" s="61"/>
      <c r="AW114" s="61"/>
      <c r="AX114" s="61"/>
      <c r="AY114" s="61"/>
      <c r="AZ114" s="134"/>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4"/>
      <c r="S115" s="61"/>
      <c r="T115" s="61"/>
      <c r="U115" s="61"/>
      <c r="V115" s="61"/>
      <c r="W115" s="61"/>
      <c r="X115" s="61"/>
      <c r="Y115" s="61"/>
      <c r="Z115" s="61"/>
      <c r="AA115" s="61"/>
      <c r="AB115" s="61"/>
      <c r="AC115" s="61"/>
      <c r="AD115" s="61"/>
      <c r="AE115" s="144"/>
      <c r="AF115" s="61"/>
      <c r="AG115" s="61"/>
      <c r="AH115" s="61"/>
      <c r="AI115" s="61"/>
      <c r="AJ115" s="61"/>
      <c r="AK115" s="61"/>
      <c r="AL115" s="61"/>
      <c r="AM115" s="61"/>
      <c r="AN115" s="61"/>
      <c r="AO115" s="61"/>
      <c r="AP115" s="61"/>
      <c r="AQ115" s="61"/>
      <c r="AR115" s="61"/>
      <c r="AS115" s="61"/>
      <c r="AT115" s="61"/>
      <c r="AU115" s="61"/>
      <c r="AV115" s="61"/>
      <c r="AW115" s="61"/>
      <c r="AX115" s="61"/>
      <c r="AY115" s="61"/>
      <c r="AZ115" s="134"/>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4"/>
      <c r="S116" s="61"/>
      <c r="T116" s="61"/>
      <c r="U116" s="61"/>
      <c r="V116" s="61"/>
      <c r="W116" s="61"/>
      <c r="X116" s="61"/>
      <c r="Y116" s="61"/>
      <c r="Z116" s="61"/>
      <c r="AA116" s="61"/>
      <c r="AB116" s="61"/>
      <c r="AC116" s="61"/>
      <c r="AD116" s="61"/>
      <c r="AE116" s="144"/>
      <c r="AF116" s="61"/>
      <c r="AG116" s="61"/>
      <c r="AH116" s="61"/>
      <c r="AI116" s="61"/>
      <c r="AJ116" s="61"/>
      <c r="AK116" s="61"/>
      <c r="AL116" s="61"/>
      <c r="AM116" s="61"/>
      <c r="AN116" s="61"/>
      <c r="AO116" s="61"/>
      <c r="AP116" s="61"/>
      <c r="AQ116" s="61"/>
      <c r="AR116" s="61"/>
      <c r="AS116" s="61"/>
      <c r="AT116" s="61"/>
      <c r="AU116" s="61"/>
      <c r="AV116" s="61"/>
      <c r="AW116" s="61"/>
      <c r="AX116" s="61"/>
      <c r="AY116" s="61"/>
      <c r="AZ116" s="134"/>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4"/>
      <c r="S117" s="61"/>
      <c r="T117" s="61"/>
      <c r="U117" s="61"/>
      <c r="V117" s="61"/>
      <c r="W117" s="61"/>
      <c r="X117" s="61"/>
      <c r="Y117" s="61"/>
      <c r="Z117" s="61"/>
      <c r="AA117" s="61"/>
      <c r="AB117" s="61"/>
      <c r="AC117" s="61"/>
      <c r="AD117" s="61"/>
      <c r="AE117" s="144"/>
      <c r="AF117" s="61"/>
      <c r="AG117" s="61"/>
      <c r="AH117" s="61"/>
      <c r="AI117" s="61"/>
      <c r="AJ117" s="61"/>
      <c r="AK117" s="61"/>
      <c r="AL117" s="61"/>
      <c r="AM117" s="61"/>
      <c r="AN117" s="61"/>
      <c r="AO117" s="61"/>
      <c r="AP117" s="61"/>
      <c r="AQ117" s="61"/>
      <c r="AR117" s="61"/>
      <c r="AS117" s="61"/>
      <c r="AT117" s="61"/>
      <c r="AU117" s="61"/>
      <c r="AV117" s="61"/>
      <c r="AW117" s="61"/>
      <c r="AX117" s="61"/>
      <c r="AY117" s="61"/>
      <c r="AZ117" s="134"/>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4"/>
      <c r="S118" s="61"/>
      <c r="T118" s="61"/>
      <c r="U118" s="61"/>
      <c r="V118" s="61"/>
      <c r="W118" s="61"/>
      <c r="X118" s="61"/>
      <c r="Y118" s="61"/>
      <c r="Z118" s="61"/>
      <c r="AA118" s="61"/>
      <c r="AB118" s="61"/>
      <c r="AC118" s="61"/>
      <c r="AD118" s="61"/>
      <c r="AE118" s="144"/>
      <c r="AF118" s="61"/>
      <c r="AG118" s="61"/>
      <c r="AH118" s="61"/>
      <c r="AI118" s="61"/>
      <c r="AJ118" s="61"/>
      <c r="AK118" s="61"/>
      <c r="AL118" s="61"/>
      <c r="AM118" s="61"/>
      <c r="AN118" s="61"/>
      <c r="AO118" s="61"/>
      <c r="AP118" s="61"/>
      <c r="AQ118" s="61"/>
      <c r="AR118" s="61"/>
      <c r="AS118" s="61"/>
      <c r="AT118" s="61"/>
      <c r="AU118" s="61"/>
      <c r="AV118" s="61"/>
      <c r="AW118" s="61"/>
      <c r="AX118" s="61"/>
      <c r="AY118" s="61"/>
      <c r="AZ118" s="134"/>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4"/>
      <c r="S119" s="61"/>
      <c r="T119" s="61"/>
      <c r="U119" s="61"/>
      <c r="V119" s="61"/>
      <c r="W119" s="61"/>
      <c r="X119" s="61"/>
      <c r="Y119" s="61"/>
      <c r="Z119" s="61"/>
      <c r="AA119" s="61"/>
      <c r="AB119" s="61"/>
      <c r="AC119" s="61"/>
      <c r="AD119" s="61"/>
      <c r="AE119" s="144"/>
      <c r="AF119" s="61"/>
      <c r="AG119" s="61"/>
      <c r="AH119" s="61"/>
      <c r="AI119" s="61"/>
      <c r="AJ119" s="61"/>
      <c r="AK119" s="61"/>
      <c r="AL119" s="61"/>
      <c r="AM119" s="61"/>
      <c r="AN119" s="61"/>
      <c r="AO119" s="61"/>
      <c r="AP119" s="61"/>
      <c r="AQ119" s="61"/>
      <c r="AR119" s="61"/>
      <c r="AS119" s="61"/>
      <c r="AT119" s="61"/>
      <c r="AU119" s="61"/>
      <c r="AV119" s="61"/>
      <c r="AW119" s="61"/>
      <c r="AX119" s="61"/>
      <c r="AY119" s="61"/>
      <c r="AZ119" s="134"/>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4"/>
      <c r="S120" s="61"/>
      <c r="T120" s="61"/>
      <c r="U120" s="61"/>
      <c r="V120" s="61"/>
      <c r="W120" s="61"/>
      <c r="X120" s="61"/>
      <c r="Y120" s="61"/>
      <c r="Z120" s="61"/>
      <c r="AA120" s="61"/>
      <c r="AB120" s="61"/>
      <c r="AC120" s="61"/>
      <c r="AD120" s="61"/>
      <c r="AE120" s="144"/>
      <c r="AF120" s="61"/>
      <c r="AG120" s="61"/>
      <c r="AH120" s="61"/>
      <c r="AI120" s="61"/>
      <c r="AJ120" s="61"/>
      <c r="AK120" s="61"/>
      <c r="AL120" s="61"/>
      <c r="AM120" s="61"/>
      <c r="AN120" s="61"/>
      <c r="AO120" s="61"/>
      <c r="AP120" s="61"/>
      <c r="AQ120" s="61"/>
      <c r="AR120" s="61"/>
      <c r="AS120" s="61"/>
      <c r="AT120" s="61"/>
      <c r="AU120" s="61"/>
      <c r="AV120" s="61"/>
      <c r="AW120" s="61"/>
      <c r="AX120" s="61"/>
      <c r="AY120" s="61"/>
      <c r="AZ120" s="134"/>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4"/>
      <c r="S121" s="61"/>
      <c r="T121" s="61"/>
      <c r="U121" s="61"/>
      <c r="V121" s="61"/>
      <c r="W121" s="61"/>
      <c r="X121" s="61"/>
      <c r="Y121" s="61"/>
      <c r="Z121" s="61"/>
      <c r="AA121" s="61"/>
      <c r="AB121" s="61"/>
      <c r="AC121" s="61"/>
      <c r="AD121" s="61"/>
      <c r="AE121" s="144"/>
      <c r="AF121" s="61"/>
      <c r="AG121" s="61"/>
      <c r="AH121" s="61"/>
      <c r="AI121" s="61"/>
      <c r="AJ121" s="61"/>
      <c r="AK121" s="61"/>
      <c r="AL121" s="61"/>
      <c r="AM121" s="61"/>
      <c r="AN121" s="61"/>
      <c r="AO121" s="61"/>
      <c r="AP121" s="61"/>
      <c r="AQ121" s="61"/>
      <c r="AR121" s="61"/>
      <c r="AS121" s="61"/>
      <c r="AT121" s="61"/>
      <c r="AU121" s="61"/>
      <c r="AV121" s="61"/>
      <c r="AW121" s="61"/>
      <c r="AX121" s="61"/>
      <c r="AY121" s="61"/>
      <c r="AZ121" s="134"/>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4"/>
      <c r="S122" s="61"/>
      <c r="T122" s="61"/>
      <c r="U122" s="61"/>
      <c r="V122" s="61"/>
      <c r="W122" s="61"/>
      <c r="X122" s="61"/>
      <c r="Y122" s="61"/>
      <c r="Z122" s="61"/>
      <c r="AA122" s="61"/>
      <c r="AB122" s="61"/>
      <c r="AC122" s="61"/>
      <c r="AD122" s="61"/>
      <c r="AE122" s="144"/>
      <c r="AF122" s="61"/>
      <c r="AG122" s="61"/>
      <c r="AH122" s="61"/>
      <c r="AI122" s="61"/>
      <c r="AJ122" s="61"/>
      <c r="AK122" s="61"/>
      <c r="AL122" s="61"/>
      <c r="AM122" s="61"/>
      <c r="AN122" s="61"/>
      <c r="AO122" s="61"/>
      <c r="AP122" s="61"/>
      <c r="AQ122" s="61"/>
      <c r="AR122" s="61"/>
      <c r="AS122" s="61"/>
      <c r="AT122" s="61"/>
      <c r="AU122" s="61"/>
      <c r="AV122" s="61"/>
      <c r="AW122" s="61"/>
      <c r="AX122" s="61"/>
      <c r="AY122" s="61"/>
      <c r="AZ122" s="134"/>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4"/>
      <c r="S123" s="61"/>
      <c r="T123" s="61"/>
      <c r="U123" s="61"/>
      <c r="V123" s="61"/>
      <c r="W123" s="61"/>
      <c r="X123" s="61"/>
      <c r="Y123" s="61"/>
      <c r="Z123" s="61"/>
      <c r="AA123" s="61"/>
      <c r="AB123" s="61"/>
      <c r="AC123" s="61"/>
      <c r="AD123" s="61"/>
      <c r="AE123" s="144"/>
      <c r="AF123" s="61"/>
      <c r="AG123" s="61"/>
      <c r="AH123" s="61"/>
      <c r="AI123" s="61"/>
      <c r="AJ123" s="61"/>
      <c r="AK123" s="61"/>
      <c r="AL123" s="61"/>
      <c r="AM123" s="61"/>
      <c r="AN123" s="61"/>
      <c r="AO123" s="61"/>
      <c r="AP123" s="61"/>
      <c r="AQ123" s="61"/>
      <c r="AR123" s="61"/>
      <c r="AS123" s="61"/>
      <c r="AT123" s="61"/>
      <c r="AU123" s="61"/>
      <c r="AV123" s="61"/>
      <c r="AW123" s="61"/>
      <c r="AX123" s="61"/>
      <c r="AY123" s="61"/>
      <c r="AZ123" s="134"/>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4"/>
      <c r="S124" s="61"/>
      <c r="T124" s="61"/>
      <c r="U124" s="61"/>
      <c r="V124" s="61"/>
      <c r="W124" s="61"/>
      <c r="X124" s="61"/>
      <c r="Y124" s="61"/>
      <c r="Z124" s="61"/>
      <c r="AA124" s="61"/>
      <c r="AB124" s="61"/>
      <c r="AC124" s="61"/>
      <c r="AD124" s="61"/>
      <c r="AE124" s="144"/>
      <c r="AF124" s="61"/>
      <c r="AG124" s="61"/>
      <c r="AH124" s="61"/>
      <c r="AI124" s="61"/>
      <c r="AJ124" s="61"/>
      <c r="AK124" s="61"/>
      <c r="AL124" s="61"/>
      <c r="AM124" s="61"/>
      <c r="AN124" s="61"/>
      <c r="AO124" s="61"/>
      <c r="AP124" s="61"/>
      <c r="AQ124" s="61"/>
      <c r="AR124" s="61"/>
      <c r="AS124" s="61"/>
      <c r="AT124" s="61"/>
      <c r="AU124" s="61"/>
      <c r="AV124" s="61"/>
      <c r="AW124" s="61"/>
      <c r="AX124" s="61"/>
      <c r="AY124" s="61"/>
      <c r="AZ124" s="134"/>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4"/>
      <c r="S125" s="61"/>
      <c r="T125" s="61"/>
      <c r="U125" s="61"/>
      <c r="V125" s="61"/>
      <c r="W125" s="61"/>
      <c r="X125" s="61"/>
      <c r="Y125" s="61"/>
      <c r="Z125" s="61"/>
      <c r="AA125" s="61"/>
      <c r="AB125" s="61"/>
      <c r="AC125" s="61"/>
      <c r="AD125" s="61"/>
      <c r="AE125" s="144"/>
      <c r="AF125" s="61"/>
      <c r="AG125" s="61"/>
      <c r="AH125" s="61"/>
      <c r="AI125" s="61"/>
      <c r="AJ125" s="61"/>
      <c r="AK125" s="61"/>
      <c r="AL125" s="61"/>
      <c r="AM125" s="61"/>
      <c r="AN125" s="61"/>
      <c r="AO125" s="61"/>
      <c r="AP125" s="61"/>
      <c r="AQ125" s="61"/>
      <c r="AR125" s="61"/>
      <c r="AS125" s="61"/>
      <c r="AT125" s="61"/>
      <c r="AU125" s="61"/>
      <c r="AV125" s="61"/>
      <c r="AW125" s="61"/>
      <c r="AX125" s="61"/>
      <c r="AY125" s="61"/>
      <c r="AZ125" s="134"/>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4"/>
      <c r="S126" s="61"/>
      <c r="T126" s="61"/>
      <c r="U126" s="61"/>
      <c r="V126" s="61"/>
      <c r="W126" s="61"/>
      <c r="X126" s="61"/>
      <c r="Y126" s="61"/>
      <c r="Z126" s="61"/>
      <c r="AA126" s="61"/>
      <c r="AB126" s="61"/>
      <c r="AC126" s="61"/>
      <c r="AD126" s="61"/>
      <c r="AE126" s="144"/>
      <c r="AF126" s="61"/>
      <c r="AG126" s="61"/>
      <c r="AH126" s="61"/>
      <c r="AI126" s="61"/>
      <c r="AJ126" s="61"/>
      <c r="AK126" s="61"/>
      <c r="AL126" s="61"/>
      <c r="AM126" s="61"/>
      <c r="AN126" s="61"/>
      <c r="AO126" s="61"/>
      <c r="AP126" s="61"/>
      <c r="AQ126" s="61"/>
      <c r="AR126" s="61"/>
      <c r="AS126" s="61"/>
      <c r="AT126" s="61"/>
      <c r="AU126" s="61"/>
      <c r="AV126" s="61"/>
      <c r="AW126" s="61"/>
      <c r="AX126" s="61"/>
      <c r="AY126" s="61"/>
      <c r="AZ126" s="134"/>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4"/>
      <c r="S127" s="61"/>
      <c r="T127" s="61"/>
      <c r="U127" s="61"/>
      <c r="V127" s="61"/>
      <c r="W127" s="61"/>
      <c r="X127" s="61"/>
      <c r="Y127" s="61"/>
      <c r="Z127" s="61"/>
      <c r="AA127" s="61"/>
      <c r="AB127" s="61"/>
      <c r="AC127" s="61"/>
      <c r="AD127" s="61"/>
      <c r="AE127" s="144"/>
      <c r="AF127" s="61"/>
      <c r="AG127" s="61"/>
      <c r="AH127" s="61"/>
      <c r="AI127" s="61"/>
      <c r="AJ127" s="61"/>
      <c r="AK127" s="61"/>
      <c r="AL127" s="61"/>
      <c r="AM127" s="61"/>
      <c r="AN127" s="61"/>
      <c r="AO127" s="61"/>
      <c r="AP127" s="61"/>
      <c r="AQ127" s="61"/>
      <c r="AR127" s="61"/>
      <c r="AS127" s="61"/>
      <c r="AT127" s="61"/>
      <c r="AU127" s="61"/>
      <c r="AV127" s="61"/>
      <c r="AW127" s="61"/>
      <c r="AX127" s="61"/>
      <c r="AY127" s="61"/>
      <c r="AZ127" s="134"/>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4"/>
      <c r="S128" s="61"/>
      <c r="T128" s="61"/>
      <c r="U128" s="61"/>
      <c r="V128" s="61"/>
      <c r="W128" s="61"/>
      <c r="X128" s="61"/>
      <c r="Y128" s="61"/>
      <c r="Z128" s="61"/>
      <c r="AA128" s="61"/>
      <c r="AB128" s="61"/>
      <c r="AC128" s="61"/>
      <c r="AD128" s="61"/>
      <c r="AE128" s="144"/>
      <c r="AF128" s="61"/>
      <c r="AG128" s="61"/>
      <c r="AH128" s="61"/>
      <c r="AI128" s="61"/>
      <c r="AJ128" s="61"/>
      <c r="AK128" s="61"/>
      <c r="AL128" s="61"/>
      <c r="AM128" s="61"/>
      <c r="AN128" s="61"/>
      <c r="AO128" s="61"/>
      <c r="AP128" s="61"/>
      <c r="AQ128" s="61"/>
      <c r="AR128" s="61"/>
      <c r="AS128" s="61"/>
      <c r="AT128" s="61"/>
      <c r="AU128" s="61"/>
      <c r="AV128" s="61"/>
      <c r="AW128" s="61"/>
      <c r="AX128" s="61"/>
      <c r="AY128" s="61"/>
      <c r="AZ128" s="134"/>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4"/>
      <c r="S129" s="61"/>
      <c r="T129" s="61"/>
      <c r="U129" s="61"/>
      <c r="V129" s="61"/>
      <c r="W129" s="61"/>
      <c r="X129" s="61"/>
      <c r="Y129" s="61"/>
      <c r="Z129" s="61"/>
      <c r="AA129" s="61"/>
      <c r="AB129" s="61"/>
      <c r="AC129" s="61"/>
      <c r="AD129" s="61"/>
      <c r="AE129" s="144"/>
      <c r="AF129" s="61"/>
      <c r="AG129" s="61"/>
      <c r="AH129" s="61"/>
      <c r="AI129" s="61"/>
      <c r="AJ129" s="61"/>
      <c r="AK129" s="61"/>
      <c r="AL129" s="61"/>
      <c r="AM129" s="61"/>
      <c r="AN129" s="61"/>
      <c r="AO129" s="61"/>
      <c r="AP129" s="61"/>
      <c r="AQ129" s="61"/>
      <c r="AR129" s="61"/>
      <c r="AS129" s="61"/>
      <c r="AT129" s="61"/>
      <c r="AU129" s="61"/>
      <c r="AV129" s="61"/>
      <c r="AW129" s="61"/>
      <c r="AX129" s="61"/>
      <c r="AY129" s="61"/>
      <c r="AZ129" s="134"/>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4"/>
      <c r="S130" s="61"/>
      <c r="T130" s="61"/>
      <c r="U130" s="61"/>
      <c r="V130" s="61"/>
      <c r="W130" s="61"/>
      <c r="X130" s="61"/>
      <c r="Y130" s="61"/>
      <c r="Z130" s="61"/>
      <c r="AA130" s="61"/>
      <c r="AB130" s="61"/>
      <c r="AC130" s="61"/>
      <c r="AD130" s="61"/>
      <c r="AE130" s="144"/>
      <c r="AF130" s="61"/>
      <c r="AG130" s="61"/>
      <c r="AH130" s="61"/>
      <c r="AI130" s="61"/>
      <c r="AJ130" s="61"/>
      <c r="AK130" s="61"/>
      <c r="AL130" s="61"/>
      <c r="AM130" s="61"/>
      <c r="AN130" s="61"/>
      <c r="AO130" s="61"/>
      <c r="AP130" s="61"/>
      <c r="AQ130" s="61"/>
      <c r="AR130" s="61"/>
      <c r="AS130" s="61"/>
      <c r="AT130" s="61"/>
      <c r="AU130" s="61"/>
      <c r="AV130" s="61"/>
      <c r="AW130" s="61"/>
      <c r="AX130" s="61"/>
      <c r="AY130" s="61"/>
      <c r="AZ130" s="134"/>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4"/>
      <c r="S131" s="61"/>
      <c r="T131" s="61"/>
      <c r="U131" s="61"/>
      <c r="V131" s="61"/>
      <c r="W131" s="61"/>
      <c r="X131" s="61"/>
      <c r="Y131" s="61"/>
      <c r="Z131" s="61"/>
      <c r="AA131" s="61"/>
      <c r="AB131" s="61"/>
      <c r="AC131" s="61"/>
      <c r="AD131" s="61"/>
      <c r="AE131" s="144"/>
      <c r="AF131" s="61"/>
      <c r="AG131" s="61"/>
      <c r="AH131" s="61"/>
      <c r="AI131" s="61"/>
      <c r="AJ131" s="61"/>
      <c r="AK131" s="61"/>
      <c r="AL131" s="61"/>
      <c r="AM131" s="61"/>
      <c r="AN131" s="61"/>
      <c r="AO131" s="61"/>
      <c r="AP131" s="61"/>
      <c r="AQ131" s="61"/>
      <c r="AR131" s="61"/>
      <c r="AS131" s="61"/>
      <c r="AT131" s="61"/>
      <c r="AU131" s="61"/>
      <c r="AV131" s="61"/>
      <c r="AW131" s="61"/>
      <c r="AX131" s="61"/>
      <c r="AY131" s="61"/>
      <c r="AZ131" s="134"/>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4"/>
      <c r="S132" s="61"/>
      <c r="T132" s="61"/>
      <c r="U132" s="61"/>
      <c r="V132" s="61"/>
      <c r="W132" s="61"/>
      <c r="X132" s="61"/>
      <c r="Y132" s="61"/>
      <c r="Z132" s="61"/>
      <c r="AA132" s="61"/>
      <c r="AB132" s="61"/>
      <c r="AC132" s="61"/>
      <c r="AD132" s="61"/>
      <c r="AE132" s="144"/>
      <c r="AF132" s="61"/>
      <c r="AG132" s="61"/>
      <c r="AH132" s="61"/>
      <c r="AI132" s="61"/>
      <c r="AJ132" s="61"/>
      <c r="AK132" s="61"/>
      <c r="AL132" s="61"/>
      <c r="AM132" s="61"/>
      <c r="AN132" s="61"/>
      <c r="AO132" s="61"/>
      <c r="AP132" s="61"/>
      <c r="AQ132" s="61"/>
      <c r="AR132" s="61"/>
      <c r="AS132" s="61"/>
      <c r="AT132" s="61"/>
      <c r="AU132" s="61"/>
      <c r="AV132" s="61"/>
      <c r="AW132" s="61"/>
      <c r="AX132" s="61"/>
      <c r="AY132" s="61"/>
      <c r="AZ132" s="134"/>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4"/>
      <c r="S133" s="61"/>
      <c r="T133" s="61"/>
      <c r="U133" s="61"/>
      <c r="V133" s="61"/>
      <c r="W133" s="61"/>
      <c r="X133" s="61"/>
      <c r="Y133" s="61"/>
      <c r="Z133" s="61"/>
      <c r="AA133" s="61"/>
      <c r="AB133" s="61"/>
      <c r="AC133" s="61"/>
      <c r="AD133" s="61"/>
      <c r="AE133" s="144"/>
      <c r="AF133" s="61"/>
      <c r="AG133" s="61"/>
      <c r="AH133" s="61"/>
      <c r="AI133" s="61"/>
      <c r="AJ133" s="61"/>
      <c r="AK133" s="61"/>
      <c r="AL133" s="61"/>
      <c r="AM133" s="61"/>
      <c r="AN133" s="61"/>
      <c r="AO133" s="61"/>
      <c r="AP133" s="61"/>
      <c r="AQ133" s="61"/>
      <c r="AR133" s="61"/>
      <c r="AS133" s="61"/>
      <c r="AT133" s="61"/>
      <c r="AU133" s="61"/>
      <c r="AV133" s="61"/>
      <c r="AW133" s="61"/>
      <c r="AX133" s="61"/>
      <c r="AY133" s="61"/>
      <c r="AZ133" s="134"/>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4"/>
      <c r="S134" s="61"/>
      <c r="T134" s="61"/>
      <c r="U134" s="61"/>
      <c r="V134" s="61"/>
      <c r="W134" s="61"/>
      <c r="X134" s="61"/>
      <c r="Y134" s="61"/>
      <c r="Z134" s="61"/>
      <c r="AA134" s="61"/>
      <c r="AB134" s="61"/>
      <c r="AC134" s="61"/>
      <c r="AD134" s="61"/>
      <c r="AE134" s="144"/>
      <c r="AF134" s="61"/>
      <c r="AG134" s="61"/>
      <c r="AH134" s="61"/>
      <c r="AI134" s="61"/>
      <c r="AJ134" s="61"/>
      <c r="AK134" s="61"/>
      <c r="AL134" s="61"/>
      <c r="AM134" s="61"/>
      <c r="AN134" s="61"/>
      <c r="AO134" s="61"/>
      <c r="AP134" s="61"/>
      <c r="AQ134" s="61"/>
      <c r="AR134" s="61"/>
      <c r="AS134" s="61"/>
      <c r="AT134" s="61"/>
      <c r="AU134" s="61"/>
      <c r="AV134" s="61"/>
      <c r="AW134" s="61"/>
      <c r="AX134" s="61"/>
      <c r="AY134" s="61"/>
      <c r="AZ134" s="134"/>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4"/>
      <c r="S135" s="61"/>
      <c r="T135" s="61"/>
      <c r="U135" s="61"/>
      <c r="V135" s="61"/>
      <c r="W135" s="61"/>
      <c r="X135" s="61"/>
      <c r="Y135" s="61"/>
      <c r="Z135" s="61"/>
      <c r="AA135" s="61"/>
      <c r="AB135" s="61"/>
      <c r="AC135" s="61"/>
      <c r="AD135" s="61"/>
      <c r="AE135" s="144"/>
      <c r="AF135" s="61"/>
      <c r="AG135" s="61"/>
      <c r="AH135" s="61"/>
      <c r="AI135" s="61"/>
      <c r="AJ135" s="61"/>
      <c r="AK135" s="61"/>
      <c r="AL135" s="61"/>
      <c r="AM135" s="61"/>
      <c r="AN135" s="61"/>
      <c r="AO135" s="61"/>
      <c r="AP135" s="61"/>
      <c r="AQ135" s="61"/>
      <c r="AR135" s="61"/>
      <c r="AS135" s="61"/>
      <c r="AT135" s="61"/>
      <c r="AU135" s="61"/>
      <c r="AV135" s="61"/>
      <c r="AW135" s="61"/>
      <c r="AX135" s="61"/>
      <c r="AY135" s="61"/>
      <c r="AZ135" s="134"/>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4"/>
      <c r="S136" s="61"/>
      <c r="T136" s="61"/>
      <c r="U136" s="61"/>
      <c r="V136" s="61"/>
      <c r="W136" s="61"/>
      <c r="X136" s="61"/>
      <c r="Y136" s="61"/>
      <c r="Z136" s="61"/>
      <c r="AA136" s="61"/>
      <c r="AB136" s="61"/>
      <c r="AC136" s="61"/>
      <c r="AD136" s="61"/>
      <c r="AE136" s="144"/>
      <c r="AF136" s="61"/>
      <c r="AG136" s="61"/>
      <c r="AH136" s="61"/>
      <c r="AI136" s="61"/>
      <c r="AJ136" s="61"/>
      <c r="AK136" s="61"/>
      <c r="AL136" s="61"/>
      <c r="AM136" s="61"/>
      <c r="AN136" s="61"/>
      <c r="AO136" s="61"/>
      <c r="AP136" s="61"/>
      <c r="AQ136" s="61"/>
      <c r="AR136" s="61"/>
      <c r="AS136" s="61"/>
      <c r="AT136" s="61"/>
      <c r="AU136" s="61"/>
      <c r="AV136" s="61"/>
      <c r="AW136" s="61"/>
      <c r="AX136" s="61"/>
      <c r="AY136" s="61"/>
      <c r="AZ136" s="134"/>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4"/>
      <c r="S137" s="61"/>
      <c r="T137" s="61"/>
      <c r="U137" s="61"/>
      <c r="V137" s="61"/>
      <c r="W137" s="61"/>
      <c r="X137" s="61"/>
      <c r="Y137" s="61"/>
      <c r="Z137" s="61"/>
      <c r="AA137" s="61"/>
      <c r="AB137" s="61"/>
      <c r="AC137" s="61"/>
      <c r="AD137" s="61"/>
      <c r="AE137" s="144"/>
      <c r="AF137" s="61"/>
      <c r="AG137" s="61"/>
      <c r="AH137" s="61"/>
      <c r="AI137" s="61"/>
      <c r="AJ137" s="61"/>
      <c r="AK137" s="61"/>
      <c r="AL137" s="61"/>
      <c r="AM137" s="61"/>
      <c r="AN137" s="61"/>
      <c r="AO137" s="61"/>
      <c r="AP137" s="61"/>
      <c r="AQ137" s="61"/>
      <c r="AR137" s="61"/>
      <c r="AS137" s="61"/>
      <c r="AT137" s="61"/>
      <c r="AU137" s="61"/>
      <c r="AV137" s="61"/>
      <c r="AW137" s="61"/>
      <c r="AX137" s="61"/>
      <c r="AY137" s="61"/>
      <c r="AZ137" s="134"/>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4"/>
      <c r="S138" s="61"/>
      <c r="T138" s="61"/>
      <c r="U138" s="61"/>
      <c r="V138" s="61"/>
      <c r="W138" s="61"/>
      <c r="X138" s="61"/>
      <c r="Y138" s="61"/>
      <c r="Z138" s="61"/>
      <c r="AA138" s="61"/>
      <c r="AB138" s="61"/>
      <c r="AC138" s="61"/>
      <c r="AD138" s="61"/>
      <c r="AE138" s="144"/>
      <c r="AF138" s="61"/>
      <c r="AG138" s="61"/>
      <c r="AH138" s="61"/>
      <c r="AI138" s="61"/>
      <c r="AJ138" s="61"/>
      <c r="AK138" s="61"/>
      <c r="AL138" s="61"/>
      <c r="AM138" s="61"/>
      <c r="AN138" s="61"/>
      <c r="AO138" s="61"/>
      <c r="AP138" s="61"/>
      <c r="AQ138" s="61"/>
      <c r="AR138" s="61"/>
      <c r="AS138" s="61"/>
      <c r="AT138" s="61"/>
      <c r="AU138" s="61"/>
      <c r="AV138" s="61"/>
      <c r="AW138" s="61"/>
      <c r="AX138" s="61"/>
      <c r="AY138" s="61"/>
      <c r="AZ138" s="134"/>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4"/>
      <c r="S139" s="61"/>
      <c r="T139" s="61"/>
      <c r="U139" s="61"/>
      <c r="V139" s="61"/>
      <c r="W139" s="61"/>
      <c r="X139" s="61"/>
      <c r="Y139" s="61"/>
      <c r="Z139" s="61"/>
      <c r="AA139" s="61"/>
      <c r="AB139" s="61"/>
      <c r="AC139" s="61"/>
      <c r="AD139" s="61"/>
      <c r="AE139" s="144"/>
      <c r="AF139" s="61"/>
      <c r="AG139" s="61"/>
      <c r="AH139" s="61"/>
      <c r="AI139" s="61"/>
      <c r="AJ139" s="61"/>
      <c r="AK139" s="61"/>
      <c r="AL139" s="61"/>
      <c r="AM139" s="61"/>
      <c r="AN139" s="61"/>
      <c r="AO139" s="61"/>
      <c r="AP139" s="61"/>
      <c r="AQ139" s="61"/>
      <c r="AR139" s="61"/>
      <c r="AS139" s="61"/>
      <c r="AT139" s="61"/>
      <c r="AU139" s="61"/>
      <c r="AV139" s="61"/>
      <c r="AW139" s="61"/>
      <c r="AX139" s="61"/>
      <c r="AY139" s="61"/>
      <c r="AZ139" s="134"/>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4"/>
      <c r="S140" s="61"/>
      <c r="T140" s="61"/>
      <c r="U140" s="61"/>
      <c r="V140" s="61"/>
      <c r="W140" s="61"/>
      <c r="X140" s="61"/>
      <c r="Y140" s="61"/>
      <c r="Z140" s="61"/>
      <c r="AA140" s="61"/>
      <c r="AB140" s="61"/>
      <c r="AC140" s="61"/>
      <c r="AD140" s="61"/>
      <c r="AE140" s="144"/>
      <c r="AF140" s="61"/>
      <c r="AG140" s="61"/>
      <c r="AH140" s="61"/>
      <c r="AI140" s="61"/>
      <c r="AJ140" s="61"/>
      <c r="AK140" s="61"/>
      <c r="AL140" s="61"/>
      <c r="AM140" s="61"/>
      <c r="AN140" s="61"/>
      <c r="AO140" s="61"/>
      <c r="AP140" s="61"/>
      <c r="AQ140" s="61"/>
      <c r="AR140" s="61"/>
      <c r="AS140" s="61"/>
      <c r="AT140" s="61"/>
      <c r="AU140" s="61"/>
      <c r="AV140" s="61"/>
      <c r="AW140" s="61"/>
      <c r="AX140" s="61"/>
      <c r="AY140" s="61"/>
      <c r="AZ140" s="134"/>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4"/>
      <c r="S141" s="61"/>
      <c r="T141" s="61"/>
      <c r="U141" s="61"/>
      <c r="V141" s="61"/>
      <c r="W141" s="61"/>
      <c r="X141" s="61"/>
      <c r="Y141" s="61"/>
      <c r="Z141" s="61"/>
      <c r="AA141" s="61"/>
      <c r="AB141" s="61"/>
      <c r="AC141" s="61"/>
      <c r="AD141" s="61"/>
      <c r="AE141" s="144"/>
      <c r="AF141" s="61"/>
      <c r="AG141" s="61"/>
      <c r="AH141" s="61"/>
      <c r="AI141" s="61"/>
      <c r="AJ141" s="61"/>
      <c r="AK141" s="61"/>
      <c r="AL141" s="61"/>
      <c r="AM141" s="61"/>
      <c r="AN141" s="61"/>
      <c r="AO141" s="61"/>
      <c r="AP141" s="61"/>
      <c r="AQ141" s="61"/>
      <c r="AR141" s="61"/>
      <c r="AS141" s="61"/>
      <c r="AT141" s="61"/>
      <c r="AU141" s="61"/>
      <c r="AV141" s="61"/>
      <c r="AW141" s="61"/>
      <c r="AX141" s="61"/>
      <c r="AY141" s="61"/>
      <c r="AZ141" s="134"/>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4"/>
      <c r="S142" s="61"/>
      <c r="T142" s="61"/>
      <c r="U142" s="61"/>
      <c r="V142" s="61"/>
      <c r="W142" s="61"/>
      <c r="X142" s="61"/>
      <c r="Y142" s="61"/>
      <c r="Z142" s="61"/>
      <c r="AA142" s="61"/>
      <c r="AB142" s="61"/>
      <c r="AC142" s="61"/>
      <c r="AD142" s="61"/>
      <c r="AE142" s="144"/>
      <c r="AF142" s="61"/>
      <c r="AG142" s="61"/>
      <c r="AH142" s="61"/>
      <c r="AI142" s="61"/>
      <c r="AJ142" s="61"/>
      <c r="AK142" s="61"/>
      <c r="AL142" s="61"/>
      <c r="AM142" s="61"/>
      <c r="AN142" s="61"/>
      <c r="AO142" s="61"/>
      <c r="AP142" s="61"/>
      <c r="AQ142" s="61"/>
      <c r="AR142" s="61"/>
      <c r="AS142" s="61"/>
      <c r="AT142" s="61"/>
      <c r="AU142" s="61"/>
      <c r="AV142" s="61"/>
      <c r="AW142" s="61"/>
      <c r="AX142" s="61"/>
      <c r="AY142" s="61"/>
      <c r="AZ142" s="134"/>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4"/>
      <c r="S143" s="61"/>
      <c r="T143" s="61"/>
      <c r="U143" s="61"/>
      <c r="V143" s="61"/>
      <c r="W143" s="61"/>
      <c r="X143" s="61"/>
      <c r="Y143" s="61"/>
      <c r="Z143" s="61"/>
      <c r="AA143" s="61"/>
      <c r="AB143" s="61"/>
      <c r="AC143" s="61"/>
      <c r="AD143" s="61"/>
      <c r="AE143" s="144"/>
      <c r="AF143" s="61"/>
      <c r="AG143" s="61"/>
      <c r="AH143" s="61"/>
      <c r="AI143" s="61"/>
      <c r="AJ143" s="61"/>
      <c r="AK143" s="61"/>
      <c r="AL143" s="61"/>
      <c r="AM143" s="61"/>
      <c r="AN143" s="61"/>
      <c r="AO143" s="61"/>
      <c r="AP143" s="61"/>
      <c r="AQ143" s="61"/>
      <c r="AR143" s="61"/>
      <c r="AS143" s="61"/>
      <c r="AT143" s="61"/>
      <c r="AU143" s="61"/>
      <c r="AV143" s="61"/>
      <c r="AW143" s="61"/>
      <c r="AX143" s="61"/>
      <c r="AY143" s="61"/>
      <c r="AZ143" s="134"/>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4"/>
      <c r="S144" s="61"/>
      <c r="T144" s="61"/>
      <c r="U144" s="61"/>
      <c r="V144" s="61"/>
      <c r="W144" s="61"/>
      <c r="X144" s="61"/>
      <c r="Y144" s="61"/>
      <c r="Z144" s="61"/>
      <c r="AA144" s="61"/>
      <c r="AB144" s="61"/>
      <c r="AC144" s="61"/>
      <c r="AD144" s="61"/>
      <c r="AE144" s="144"/>
      <c r="AF144" s="61"/>
      <c r="AG144" s="61"/>
      <c r="AH144" s="61"/>
      <c r="AI144" s="61"/>
      <c r="AJ144" s="61"/>
      <c r="AK144" s="61"/>
      <c r="AL144" s="61"/>
      <c r="AM144" s="61"/>
      <c r="AN144" s="61"/>
      <c r="AO144" s="61"/>
      <c r="AP144" s="61"/>
      <c r="AQ144" s="61"/>
      <c r="AR144" s="61"/>
      <c r="AS144" s="61"/>
      <c r="AT144" s="61"/>
      <c r="AU144" s="61"/>
      <c r="AV144" s="61"/>
      <c r="AW144" s="61"/>
      <c r="AX144" s="61"/>
      <c r="AY144" s="61"/>
      <c r="AZ144" s="134"/>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4"/>
      <c r="S145" s="61"/>
      <c r="T145" s="61"/>
      <c r="U145" s="61"/>
      <c r="V145" s="61"/>
      <c r="W145" s="61"/>
      <c r="X145" s="61"/>
      <c r="Y145" s="61"/>
      <c r="Z145" s="61"/>
      <c r="AA145" s="61"/>
      <c r="AB145" s="61"/>
      <c r="AC145" s="61"/>
      <c r="AD145" s="61"/>
      <c r="AE145" s="144"/>
      <c r="AF145" s="61"/>
      <c r="AG145" s="61"/>
      <c r="AH145" s="61"/>
      <c r="AI145" s="61"/>
      <c r="AJ145" s="61"/>
      <c r="AK145" s="61"/>
      <c r="AL145" s="61"/>
      <c r="AM145" s="61"/>
      <c r="AN145" s="61"/>
      <c r="AO145" s="61"/>
      <c r="AP145" s="61"/>
      <c r="AQ145" s="61"/>
      <c r="AR145" s="61"/>
      <c r="AS145" s="61"/>
      <c r="AT145" s="61"/>
      <c r="AU145" s="61"/>
      <c r="AV145" s="61"/>
      <c r="AW145" s="61"/>
      <c r="AX145" s="61"/>
      <c r="AY145" s="61"/>
      <c r="AZ145" s="134"/>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4"/>
      <c r="S146" s="61"/>
      <c r="T146" s="61"/>
      <c r="U146" s="61"/>
      <c r="V146" s="61"/>
      <c r="W146" s="61"/>
      <c r="X146" s="61"/>
      <c r="Y146" s="61"/>
      <c r="Z146" s="61"/>
      <c r="AA146" s="61"/>
      <c r="AB146" s="61"/>
      <c r="AC146" s="61"/>
      <c r="AD146" s="61"/>
      <c r="AE146" s="144"/>
      <c r="AF146" s="61"/>
      <c r="AG146" s="61"/>
      <c r="AH146" s="61"/>
      <c r="AI146" s="61"/>
      <c r="AJ146" s="61"/>
      <c r="AK146" s="61"/>
      <c r="AL146" s="61"/>
      <c r="AM146" s="61"/>
      <c r="AN146" s="61"/>
      <c r="AO146" s="61"/>
      <c r="AP146" s="61"/>
      <c r="AQ146" s="61"/>
      <c r="AR146" s="61"/>
      <c r="AS146" s="61"/>
      <c r="AT146" s="61"/>
      <c r="AU146" s="61"/>
      <c r="AV146" s="61"/>
      <c r="AW146" s="61"/>
      <c r="AX146" s="61"/>
      <c r="AY146" s="61"/>
      <c r="AZ146" s="134"/>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4"/>
      <c r="S147" s="61"/>
      <c r="T147" s="61"/>
      <c r="U147" s="61"/>
      <c r="V147" s="61"/>
      <c r="W147" s="61"/>
      <c r="X147" s="61"/>
      <c r="Y147" s="61"/>
      <c r="Z147" s="61"/>
      <c r="AA147" s="61"/>
      <c r="AB147" s="61"/>
      <c r="AC147" s="61"/>
      <c r="AD147" s="61"/>
      <c r="AE147" s="144"/>
      <c r="AF147" s="61"/>
      <c r="AG147" s="61"/>
      <c r="AH147" s="61"/>
      <c r="AI147" s="61"/>
      <c r="AJ147" s="61"/>
      <c r="AK147" s="61"/>
      <c r="AL147" s="61"/>
      <c r="AM147" s="61"/>
      <c r="AN147" s="61"/>
      <c r="AO147" s="61"/>
      <c r="AP147" s="61"/>
      <c r="AQ147" s="61"/>
      <c r="AR147" s="61"/>
      <c r="AS147" s="61"/>
      <c r="AT147" s="61"/>
      <c r="AU147" s="61"/>
      <c r="AV147" s="61"/>
      <c r="AW147" s="61"/>
      <c r="AX147" s="61"/>
      <c r="AY147" s="61"/>
      <c r="AZ147" s="134"/>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4"/>
      <c r="S148" s="61"/>
      <c r="T148" s="61"/>
      <c r="U148" s="61"/>
      <c r="V148" s="61"/>
      <c r="W148" s="61"/>
      <c r="X148" s="61"/>
      <c r="Y148" s="61"/>
      <c r="Z148" s="61"/>
      <c r="AA148" s="61"/>
      <c r="AB148" s="61"/>
      <c r="AC148" s="61"/>
      <c r="AD148" s="61"/>
      <c r="AE148" s="144"/>
      <c r="AF148" s="61"/>
      <c r="AG148" s="61"/>
      <c r="AH148" s="61"/>
      <c r="AI148" s="61"/>
      <c r="AJ148" s="61"/>
      <c r="AK148" s="61"/>
      <c r="AL148" s="61"/>
      <c r="AM148" s="61"/>
      <c r="AN148" s="61"/>
      <c r="AO148" s="61"/>
      <c r="AP148" s="61"/>
      <c r="AQ148" s="61"/>
      <c r="AR148" s="61"/>
      <c r="AS148" s="61"/>
      <c r="AT148" s="61"/>
      <c r="AU148" s="61"/>
      <c r="AV148" s="61"/>
      <c r="AW148" s="61"/>
      <c r="AX148" s="61"/>
      <c r="AY148" s="61"/>
      <c r="AZ148" s="134"/>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4"/>
      <c r="S149" s="61"/>
      <c r="T149" s="61"/>
      <c r="U149" s="61"/>
      <c r="V149" s="61"/>
      <c r="W149" s="61"/>
      <c r="X149" s="61"/>
      <c r="Y149" s="61"/>
      <c r="Z149" s="61"/>
      <c r="AA149" s="61"/>
      <c r="AB149" s="61"/>
      <c r="AC149" s="61"/>
      <c r="AD149" s="61"/>
      <c r="AE149" s="144"/>
      <c r="AF149" s="61"/>
      <c r="AG149" s="61"/>
      <c r="AH149" s="61"/>
      <c r="AI149" s="61"/>
      <c r="AJ149" s="61"/>
      <c r="AK149" s="61"/>
      <c r="AL149" s="61"/>
      <c r="AM149" s="61"/>
      <c r="AN149" s="61"/>
      <c r="AO149" s="61"/>
      <c r="AP149" s="61"/>
      <c r="AQ149" s="61"/>
      <c r="AR149" s="61"/>
      <c r="AS149" s="61"/>
      <c r="AT149" s="61"/>
      <c r="AU149" s="61"/>
      <c r="AV149" s="61"/>
      <c r="AW149" s="61"/>
      <c r="AX149" s="61"/>
      <c r="AY149" s="61"/>
      <c r="AZ149" s="134"/>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4"/>
      <c r="S150" s="61"/>
      <c r="T150" s="61"/>
      <c r="U150" s="61"/>
      <c r="V150" s="61"/>
      <c r="W150" s="61"/>
      <c r="X150" s="61"/>
      <c r="Y150" s="61"/>
      <c r="Z150" s="61"/>
      <c r="AA150" s="61"/>
      <c r="AB150" s="61"/>
      <c r="AC150" s="61"/>
      <c r="AD150" s="61"/>
      <c r="AE150" s="144"/>
      <c r="AF150" s="61"/>
      <c r="AG150" s="61"/>
      <c r="AH150" s="61"/>
      <c r="AI150" s="61"/>
      <c r="AJ150" s="61"/>
      <c r="AK150" s="61"/>
      <c r="AL150" s="61"/>
      <c r="AM150" s="61"/>
      <c r="AN150" s="61"/>
      <c r="AO150" s="61"/>
      <c r="AP150" s="61"/>
      <c r="AQ150" s="61"/>
      <c r="AR150" s="61"/>
      <c r="AS150" s="61"/>
      <c r="AT150" s="61"/>
      <c r="AU150" s="61"/>
      <c r="AV150" s="61"/>
      <c r="AW150" s="61"/>
      <c r="AX150" s="61"/>
      <c r="AY150" s="61"/>
      <c r="AZ150" s="134"/>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4"/>
      <c r="S151" s="61"/>
      <c r="T151" s="61"/>
      <c r="U151" s="61"/>
      <c r="V151" s="61"/>
      <c r="W151" s="61"/>
      <c r="X151" s="61"/>
      <c r="Y151" s="61"/>
      <c r="Z151" s="61"/>
      <c r="AA151" s="61"/>
      <c r="AB151" s="61"/>
      <c r="AC151" s="61"/>
      <c r="AD151" s="61"/>
      <c r="AE151" s="144"/>
      <c r="AF151" s="61"/>
      <c r="AG151" s="61"/>
      <c r="AH151" s="61"/>
      <c r="AI151" s="61"/>
      <c r="AJ151" s="61"/>
      <c r="AK151" s="61"/>
      <c r="AL151" s="61"/>
      <c r="AM151" s="61"/>
      <c r="AN151" s="61"/>
      <c r="AO151" s="61"/>
      <c r="AP151" s="61"/>
      <c r="AQ151" s="61"/>
      <c r="AR151" s="61"/>
      <c r="AS151" s="61"/>
      <c r="AT151" s="61"/>
      <c r="AU151" s="61"/>
      <c r="AV151" s="61"/>
      <c r="AW151" s="61"/>
      <c r="AX151" s="61"/>
      <c r="AY151" s="61"/>
      <c r="AZ151" s="134"/>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4"/>
      <c r="S152" s="61"/>
      <c r="T152" s="61"/>
      <c r="U152" s="61"/>
      <c r="V152" s="61"/>
      <c r="W152" s="61"/>
      <c r="X152" s="61"/>
      <c r="Y152" s="61"/>
      <c r="Z152" s="61"/>
      <c r="AA152" s="61"/>
      <c r="AB152" s="61"/>
      <c r="AC152" s="61"/>
      <c r="AD152" s="61"/>
      <c r="AE152" s="144"/>
      <c r="AF152" s="61"/>
      <c r="AG152" s="61"/>
      <c r="AH152" s="61"/>
      <c r="AI152" s="61"/>
      <c r="AJ152" s="61"/>
      <c r="AK152" s="61"/>
      <c r="AL152" s="61"/>
      <c r="AM152" s="61"/>
      <c r="AN152" s="61"/>
      <c r="AO152" s="61"/>
      <c r="AP152" s="61"/>
      <c r="AQ152" s="61"/>
      <c r="AR152" s="61"/>
      <c r="AS152" s="61"/>
      <c r="AT152" s="61"/>
      <c r="AU152" s="61"/>
      <c r="AV152" s="61"/>
      <c r="AW152" s="61"/>
      <c r="AX152" s="61"/>
      <c r="AY152" s="61"/>
      <c r="AZ152" s="134"/>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4"/>
      <c r="S153" s="61"/>
      <c r="T153" s="61"/>
      <c r="U153" s="61"/>
      <c r="V153" s="61"/>
      <c r="W153" s="61"/>
      <c r="X153" s="61"/>
      <c r="Y153" s="61"/>
      <c r="Z153" s="61"/>
      <c r="AA153" s="61"/>
      <c r="AB153" s="61"/>
      <c r="AC153" s="61"/>
      <c r="AD153" s="61"/>
      <c r="AE153" s="144"/>
      <c r="AF153" s="61"/>
      <c r="AG153" s="61"/>
      <c r="AH153" s="61"/>
      <c r="AI153" s="61"/>
      <c r="AJ153" s="61"/>
      <c r="AK153" s="61"/>
      <c r="AL153" s="61"/>
      <c r="AM153" s="61"/>
      <c r="AN153" s="61"/>
      <c r="AO153" s="61"/>
      <c r="AP153" s="61"/>
      <c r="AQ153" s="61"/>
      <c r="AR153" s="61"/>
      <c r="AS153" s="61"/>
      <c r="AT153" s="61"/>
      <c r="AU153" s="61"/>
      <c r="AV153" s="61"/>
      <c r="AW153" s="61"/>
      <c r="AX153" s="61"/>
      <c r="AY153" s="61"/>
      <c r="AZ153" s="134"/>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4"/>
      <c r="S154" s="61"/>
      <c r="T154" s="61"/>
      <c r="U154" s="61"/>
      <c r="V154" s="61"/>
      <c r="W154" s="61"/>
      <c r="X154" s="61"/>
      <c r="Y154" s="61"/>
      <c r="Z154" s="61"/>
      <c r="AA154" s="61"/>
      <c r="AB154" s="61"/>
      <c r="AC154" s="61"/>
      <c r="AD154" s="61"/>
      <c r="AE154" s="144"/>
      <c r="AF154" s="61"/>
      <c r="AG154" s="61"/>
      <c r="AH154" s="61"/>
      <c r="AI154" s="61"/>
      <c r="AJ154" s="61"/>
      <c r="AK154" s="61"/>
      <c r="AL154" s="61"/>
      <c r="AM154" s="61"/>
      <c r="AN154" s="61"/>
      <c r="AO154" s="61"/>
      <c r="AP154" s="61"/>
      <c r="AQ154" s="61"/>
      <c r="AR154" s="61"/>
      <c r="AS154" s="61"/>
      <c r="AT154" s="61"/>
      <c r="AU154" s="61"/>
      <c r="AV154" s="61"/>
      <c r="AW154" s="61"/>
      <c r="AX154" s="61"/>
      <c r="AY154" s="61"/>
      <c r="AZ154" s="134"/>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4"/>
      <c r="S155" s="61"/>
      <c r="T155" s="61"/>
      <c r="U155" s="61"/>
      <c r="V155" s="61"/>
      <c r="W155" s="61"/>
      <c r="X155" s="61"/>
      <c r="Y155" s="61"/>
      <c r="Z155" s="61"/>
      <c r="AA155" s="61"/>
      <c r="AB155" s="61"/>
      <c r="AC155" s="61"/>
      <c r="AD155" s="61"/>
      <c r="AE155" s="144"/>
      <c r="AF155" s="61"/>
      <c r="AG155" s="61"/>
      <c r="AH155" s="61"/>
      <c r="AI155" s="61"/>
      <c r="AJ155" s="61"/>
      <c r="AK155" s="61"/>
      <c r="AL155" s="61"/>
      <c r="AM155" s="61"/>
      <c r="AN155" s="61"/>
      <c r="AO155" s="61"/>
      <c r="AP155" s="61"/>
      <c r="AQ155" s="61"/>
      <c r="AR155" s="61"/>
      <c r="AS155" s="61"/>
      <c r="AT155" s="61"/>
      <c r="AU155" s="61"/>
      <c r="AV155" s="61"/>
      <c r="AW155" s="61"/>
      <c r="AX155" s="61"/>
      <c r="AY155" s="61"/>
      <c r="AZ155" s="134"/>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4"/>
      <c r="S156" s="61"/>
      <c r="T156" s="61"/>
      <c r="U156" s="61"/>
      <c r="V156" s="61"/>
      <c r="W156" s="61"/>
      <c r="X156" s="61"/>
      <c r="Y156" s="61"/>
      <c r="Z156" s="61"/>
      <c r="AA156" s="61"/>
      <c r="AB156" s="61"/>
      <c r="AC156" s="61"/>
      <c r="AD156" s="61"/>
      <c r="AE156" s="144"/>
      <c r="AF156" s="61"/>
      <c r="AG156" s="61"/>
      <c r="AH156" s="61"/>
      <c r="AI156" s="61"/>
      <c r="AJ156" s="61"/>
      <c r="AK156" s="61"/>
      <c r="AL156" s="61"/>
      <c r="AM156" s="61"/>
      <c r="AN156" s="61"/>
      <c r="AO156" s="61"/>
      <c r="AP156" s="61"/>
      <c r="AQ156" s="61"/>
      <c r="AR156" s="61"/>
      <c r="AS156" s="61"/>
      <c r="AT156" s="61"/>
      <c r="AU156" s="61"/>
      <c r="AV156" s="61"/>
      <c r="AW156" s="61"/>
      <c r="AX156" s="61"/>
      <c r="AY156" s="61"/>
      <c r="AZ156" s="134"/>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4"/>
      <c r="S157" s="61"/>
      <c r="T157" s="61"/>
      <c r="U157" s="61"/>
      <c r="V157" s="61"/>
      <c r="W157" s="61"/>
      <c r="X157" s="61"/>
      <c r="Y157" s="61"/>
      <c r="Z157" s="61"/>
      <c r="AA157" s="61"/>
      <c r="AB157" s="61"/>
      <c r="AC157" s="61"/>
      <c r="AD157" s="61"/>
      <c r="AE157" s="144"/>
      <c r="AF157" s="61"/>
      <c r="AG157" s="61"/>
      <c r="AH157" s="61"/>
      <c r="AI157" s="61"/>
      <c r="AJ157" s="61"/>
      <c r="AK157" s="61"/>
      <c r="AL157" s="61"/>
      <c r="AM157" s="61"/>
      <c r="AN157" s="61"/>
      <c r="AO157" s="61"/>
      <c r="AP157" s="61"/>
      <c r="AQ157" s="61"/>
      <c r="AR157" s="61"/>
      <c r="AS157" s="61"/>
      <c r="AT157" s="61"/>
      <c r="AU157" s="61"/>
      <c r="AV157" s="61"/>
      <c r="AW157" s="61"/>
      <c r="AX157" s="61"/>
      <c r="AY157" s="61"/>
      <c r="AZ157" s="134"/>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4"/>
      <c r="S158" s="61"/>
      <c r="T158" s="61"/>
      <c r="U158" s="61"/>
      <c r="V158" s="61"/>
      <c r="W158" s="61"/>
      <c r="X158" s="61"/>
      <c r="Y158" s="61"/>
      <c r="Z158" s="61"/>
      <c r="AA158" s="61"/>
      <c r="AB158" s="61"/>
      <c r="AC158" s="61"/>
      <c r="AD158" s="61"/>
      <c r="AE158" s="144"/>
      <c r="AF158" s="61"/>
      <c r="AG158" s="61"/>
      <c r="AH158" s="61"/>
      <c r="AI158" s="61"/>
      <c r="AJ158" s="61"/>
      <c r="AK158" s="61"/>
      <c r="AL158" s="61"/>
      <c r="AM158" s="61"/>
      <c r="AN158" s="61"/>
      <c r="AO158" s="61"/>
      <c r="AP158" s="61"/>
      <c r="AQ158" s="61"/>
      <c r="AR158" s="61"/>
      <c r="AS158" s="61"/>
      <c r="AT158" s="61"/>
      <c r="AU158" s="61"/>
      <c r="AV158" s="61"/>
      <c r="AW158" s="61"/>
      <c r="AX158" s="61"/>
      <c r="AY158" s="61"/>
      <c r="AZ158" s="134"/>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4"/>
      <c r="S159" s="61"/>
      <c r="T159" s="61"/>
      <c r="U159" s="61"/>
      <c r="V159" s="61"/>
      <c r="W159" s="61"/>
      <c r="X159" s="61"/>
      <c r="Y159" s="61"/>
      <c r="Z159" s="61"/>
      <c r="AA159" s="61"/>
      <c r="AB159" s="61"/>
      <c r="AC159" s="61"/>
      <c r="AD159" s="61"/>
      <c r="AE159" s="144"/>
      <c r="AF159" s="61"/>
      <c r="AG159" s="61"/>
      <c r="AH159" s="61"/>
      <c r="AI159" s="61"/>
      <c r="AJ159" s="61"/>
      <c r="AK159" s="61"/>
      <c r="AL159" s="61"/>
      <c r="AM159" s="61"/>
      <c r="AN159" s="61"/>
      <c r="AO159" s="61"/>
      <c r="AP159" s="61"/>
      <c r="AQ159" s="61"/>
      <c r="AR159" s="61"/>
      <c r="AS159" s="61"/>
      <c r="AT159" s="61"/>
      <c r="AU159" s="61"/>
      <c r="AV159" s="61"/>
      <c r="AW159" s="61"/>
      <c r="AX159" s="61"/>
      <c r="AY159" s="61"/>
      <c r="AZ159" s="134"/>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4"/>
      <c r="S160" s="61"/>
      <c r="T160" s="61"/>
      <c r="U160" s="61"/>
      <c r="V160" s="61"/>
      <c r="W160" s="61"/>
      <c r="X160" s="61"/>
      <c r="Y160" s="61"/>
      <c r="Z160" s="61"/>
      <c r="AA160" s="61"/>
      <c r="AB160" s="61"/>
      <c r="AC160" s="61"/>
      <c r="AD160" s="61"/>
      <c r="AE160" s="144"/>
      <c r="AF160" s="61"/>
      <c r="AG160" s="61"/>
      <c r="AH160" s="61"/>
      <c r="AI160" s="61"/>
      <c r="AJ160" s="61"/>
      <c r="AK160" s="61"/>
      <c r="AL160" s="61"/>
      <c r="AM160" s="61"/>
      <c r="AN160" s="61"/>
      <c r="AO160" s="61"/>
      <c r="AP160" s="61"/>
      <c r="AQ160" s="61"/>
      <c r="AR160" s="61"/>
      <c r="AS160" s="61"/>
      <c r="AT160" s="61"/>
      <c r="AU160" s="61"/>
      <c r="AV160" s="61"/>
      <c r="AW160" s="61"/>
      <c r="AX160" s="61"/>
      <c r="AY160" s="61"/>
      <c r="AZ160" s="134"/>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4"/>
      <c r="S161" s="61"/>
      <c r="T161" s="61"/>
      <c r="U161" s="61"/>
      <c r="V161" s="61"/>
      <c r="W161" s="61"/>
      <c r="X161" s="61"/>
      <c r="Y161" s="61"/>
      <c r="Z161" s="61"/>
      <c r="AA161" s="61"/>
      <c r="AB161" s="61"/>
      <c r="AC161" s="61"/>
      <c r="AD161" s="61"/>
      <c r="AE161" s="144"/>
      <c r="AF161" s="61"/>
      <c r="AG161" s="61"/>
      <c r="AH161" s="61"/>
      <c r="AI161" s="61"/>
      <c r="AJ161" s="61"/>
      <c r="AK161" s="61"/>
      <c r="AL161" s="61"/>
      <c r="AM161" s="61"/>
      <c r="AN161" s="61"/>
      <c r="AO161" s="61"/>
      <c r="AP161" s="61"/>
      <c r="AQ161" s="61"/>
      <c r="AR161" s="61"/>
      <c r="AS161" s="61"/>
      <c r="AT161" s="61"/>
      <c r="AU161" s="61"/>
      <c r="AV161" s="61"/>
      <c r="AW161" s="61"/>
      <c r="AX161" s="61"/>
      <c r="AY161" s="61"/>
      <c r="AZ161" s="134"/>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4"/>
      <c r="S162" s="61"/>
      <c r="T162" s="61"/>
      <c r="U162" s="61"/>
      <c r="V162" s="61"/>
      <c r="W162" s="61"/>
      <c r="X162" s="61"/>
      <c r="Y162" s="61"/>
      <c r="Z162" s="61"/>
      <c r="AA162" s="61"/>
      <c r="AB162" s="61"/>
      <c r="AC162" s="61"/>
      <c r="AD162" s="61"/>
      <c r="AE162" s="144"/>
      <c r="AF162" s="61"/>
      <c r="AG162" s="61"/>
      <c r="AH162" s="61"/>
      <c r="AI162" s="61"/>
      <c r="AJ162" s="61"/>
      <c r="AK162" s="61"/>
      <c r="AL162" s="61"/>
      <c r="AM162" s="61"/>
      <c r="AN162" s="61"/>
      <c r="AO162" s="61"/>
      <c r="AP162" s="61"/>
      <c r="AQ162" s="61"/>
      <c r="AR162" s="61"/>
      <c r="AS162" s="61"/>
      <c r="AT162" s="61"/>
      <c r="AU162" s="61"/>
      <c r="AV162" s="61"/>
      <c r="AW162" s="61"/>
      <c r="AX162" s="61"/>
      <c r="AY162" s="61"/>
      <c r="AZ162" s="134"/>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4"/>
      <c r="S163" s="61"/>
      <c r="T163" s="61"/>
      <c r="U163" s="61"/>
      <c r="V163" s="61"/>
      <c r="W163" s="61"/>
      <c r="X163" s="61"/>
      <c r="Y163" s="61"/>
      <c r="Z163" s="61"/>
      <c r="AA163" s="61"/>
      <c r="AB163" s="61"/>
      <c r="AC163" s="61"/>
      <c r="AD163" s="61"/>
      <c r="AE163" s="144"/>
      <c r="AF163" s="61"/>
      <c r="AG163" s="61"/>
      <c r="AH163" s="61"/>
      <c r="AI163" s="61"/>
      <c r="AJ163" s="61"/>
      <c r="AK163" s="61"/>
      <c r="AL163" s="61"/>
      <c r="AM163" s="61"/>
      <c r="AN163" s="61"/>
      <c r="AO163" s="61"/>
      <c r="AP163" s="61"/>
      <c r="AQ163" s="61"/>
      <c r="AR163" s="61"/>
      <c r="AS163" s="61"/>
      <c r="AT163" s="61"/>
      <c r="AU163" s="61"/>
      <c r="AV163" s="61"/>
      <c r="AW163" s="61"/>
      <c r="AX163" s="61"/>
      <c r="AY163" s="61"/>
      <c r="AZ163" s="134"/>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4"/>
      <c r="S164" s="61"/>
      <c r="T164" s="61"/>
      <c r="U164" s="61"/>
      <c r="V164" s="61"/>
      <c r="W164" s="61"/>
      <c r="X164" s="61"/>
      <c r="Y164" s="61"/>
      <c r="Z164" s="61"/>
      <c r="AA164" s="61"/>
      <c r="AB164" s="61"/>
      <c r="AC164" s="61"/>
      <c r="AD164" s="61"/>
      <c r="AE164" s="144"/>
      <c r="AF164" s="61"/>
      <c r="AG164" s="61"/>
      <c r="AH164" s="61"/>
      <c r="AI164" s="61"/>
      <c r="AJ164" s="61"/>
      <c r="AK164" s="61"/>
      <c r="AL164" s="61"/>
      <c r="AM164" s="61"/>
      <c r="AN164" s="61"/>
      <c r="AO164" s="61"/>
      <c r="AP164" s="61"/>
      <c r="AQ164" s="61"/>
      <c r="AR164" s="61"/>
      <c r="AS164" s="61"/>
      <c r="AT164" s="61"/>
      <c r="AU164" s="61"/>
      <c r="AV164" s="61"/>
      <c r="AW164" s="61"/>
      <c r="AX164" s="61"/>
      <c r="AY164" s="61"/>
      <c r="AZ164" s="134"/>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4"/>
      <c r="S165" s="61"/>
      <c r="T165" s="61"/>
      <c r="U165" s="61"/>
      <c r="V165" s="61"/>
      <c r="W165" s="61"/>
      <c r="X165" s="61"/>
      <c r="Y165" s="61"/>
      <c r="Z165" s="61"/>
      <c r="AA165" s="61"/>
      <c r="AB165" s="61"/>
      <c r="AC165" s="61"/>
      <c r="AD165" s="61"/>
      <c r="AE165" s="144"/>
      <c r="AF165" s="61"/>
      <c r="AG165" s="61"/>
      <c r="AH165" s="61"/>
      <c r="AI165" s="61"/>
      <c r="AJ165" s="61"/>
      <c r="AK165" s="61"/>
      <c r="AL165" s="61"/>
      <c r="AM165" s="61"/>
      <c r="AN165" s="61"/>
      <c r="AO165" s="61"/>
      <c r="AP165" s="61"/>
      <c r="AQ165" s="61"/>
      <c r="AR165" s="61"/>
      <c r="AS165" s="61"/>
      <c r="AT165" s="61"/>
      <c r="AU165" s="61"/>
      <c r="AV165" s="61"/>
      <c r="AW165" s="61"/>
      <c r="AX165" s="61"/>
      <c r="AY165" s="61"/>
      <c r="AZ165" s="134"/>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4"/>
      <c r="S166" s="61"/>
      <c r="T166" s="61"/>
      <c r="U166" s="61"/>
      <c r="V166" s="61"/>
      <c r="W166" s="61"/>
      <c r="X166" s="61"/>
      <c r="Y166" s="61"/>
      <c r="Z166" s="61"/>
      <c r="AA166" s="61"/>
      <c r="AB166" s="61"/>
      <c r="AC166" s="61"/>
      <c r="AD166" s="61"/>
      <c r="AE166" s="144"/>
      <c r="AF166" s="61"/>
      <c r="AG166" s="61"/>
      <c r="AH166" s="61"/>
      <c r="AI166" s="61"/>
      <c r="AJ166" s="61"/>
      <c r="AK166" s="61"/>
      <c r="AL166" s="61"/>
      <c r="AM166" s="61"/>
      <c r="AN166" s="61"/>
      <c r="AO166" s="61"/>
      <c r="AP166" s="61"/>
      <c r="AQ166" s="61"/>
      <c r="AR166" s="61"/>
      <c r="AS166" s="61"/>
      <c r="AT166" s="61"/>
      <c r="AU166" s="61"/>
      <c r="AV166" s="61"/>
      <c r="AW166" s="61"/>
      <c r="AX166" s="61"/>
      <c r="AY166" s="61"/>
      <c r="AZ166" s="134"/>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4"/>
      <c r="S167" s="61"/>
      <c r="T167" s="61"/>
      <c r="U167" s="61"/>
      <c r="V167" s="61"/>
      <c r="W167" s="61"/>
      <c r="X167" s="61"/>
      <c r="Y167" s="61"/>
      <c r="Z167" s="61"/>
      <c r="AA167" s="61"/>
      <c r="AB167" s="61"/>
      <c r="AC167" s="61"/>
      <c r="AD167" s="61"/>
      <c r="AE167" s="144"/>
      <c r="AF167" s="61"/>
      <c r="AG167" s="61"/>
      <c r="AH167" s="61"/>
      <c r="AI167" s="61"/>
      <c r="AJ167" s="61"/>
      <c r="AK167" s="61"/>
      <c r="AL167" s="61"/>
      <c r="AM167" s="61"/>
      <c r="AN167" s="61"/>
      <c r="AO167" s="61"/>
      <c r="AP167" s="61"/>
      <c r="AQ167" s="61"/>
      <c r="AR167" s="61"/>
      <c r="AS167" s="61"/>
      <c r="AT167" s="61"/>
      <c r="AU167" s="61"/>
      <c r="AV167" s="61"/>
      <c r="AW167" s="61"/>
      <c r="AX167" s="61"/>
      <c r="AY167" s="61"/>
      <c r="AZ167" s="134"/>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4"/>
      <c r="S168" s="61"/>
      <c r="T168" s="61"/>
      <c r="U168" s="61"/>
      <c r="V168" s="61"/>
      <c r="W168" s="61"/>
      <c r="X168" s="61"/>
      <c r="Y168" s="61"/>
      <c r="Z168" s="61"/>
      <c r="AA168" s="61"/>
      <c r="AB168" s="61"/>
      <c r="AC168" s="61"/>
      <c r="AD168" s="61"/>
      <c r="AE168" s="144"/>
      <c r="AF168" s="61"/>
      <c r="AG168" s="61"/>
      <c r="AH168" s="61"/>
      <c r="AI168" s="61"/>
      <c r="AJ168" s="61"/>
      <c r="AK168" s="61"/>
      <c r="AL168" s="61"/>
      <c r="AM168" s="61"/>
      <c r="AN168" s="61"/>
      <c r="AO168" s="61"/>
      <c r="AP168" s="61"/>
      <c r="AQ168" s="61"/>
      <c r="AR168" s="61"/>
      <c r="AS168" s="61"/>
      <c r="AT168" s="61"/>
      <c r="AU168" s="61"/>
      <c r="AV168" s="61"/>
      <c r="AW168" s="61"/>
      <c r="AX168" s="61"/>
      <c r="AY168" s="61"/>
      <c r="AZ168" s="134"/>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4"/>
      <c r="S169" s="61"/>
      <c r="T169" s="61"/>
      <c r="U169" s="61"/>
      <c r="V169" s="61"/>
      <c r="W169" s="61"/>
      <c r="X169" s="61"/>
      <c r="Y169" s="61"/>
      <c r="Z169" s="61"/>
      <c r="AA169" s="61"/>
      <c r="AB169" s="61"/>
      <c r="AC169" s="61"/>
      <c r="AD169" s="61"/>
      <c r="AE169" s="144"/>
      <c r="AF169" s="61"/>
      <c r="AG169" s="61"/>
      <c r="AH169" s="61"/>
      <c r="AI169" s="61"/>
      <c r="AJ169" s="61"/>
      <c r="AK169" s="61"/>
      <c r="AL169" s="61"/>
      <c r="AM169" s="61"/>
      <c r="AN169" s="61"/>
      <c r="AO169" s="61"/>
      <c r="AP169" s="61"/>
      <c r="AQ169" s="61"/>
      <c r="AR169" s="61"/>
      <c r="AS169" s="61"/>
      <c r="AT169" s="61"/>
      <c r="AU169" s="61"/>
      <c r="AV169" s="61"/>
      <c r="AW169" s="61"/>
      <c r="AX169" s="61"/>
      <c r="AY169" s="61"/>
      <c r="AZ169" s="134"/>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4"/>
      <c r="S170" s="61"/>
      <c r="T170" s="61"/>
      <c r="U170" s="61"/>
      <c r="V170" s="61"/>
      <c r="W170" s="61"/>
      <c r="X170" s="61"/>
      <c r="Y170" s="61"/>
      <c r="Z170" s="61"/>
      <c r="AA170" s="61"/>
      <c r="AB170" s="61"/>
      <c r="AC170" s="61"/>
      <c r="AD170" s="61"/>
      <c r="AE170" s="144"/>
      <c r="AF170" s="61"/>
      <c r="AG170" s="61"/>
      <c r="AH170" s="61"/>
      <c r="AI170" s="61"/>
      <c r="AJ170" s="61"/>
      <c r="AK170" s="61"/>
      <c r="AL170" s="61"/>
      <c r="AM170" s="61"/>
      <c r="AN170" s="61"/>
      <c r="AO170" s="61"/>
      <c r="AP170" s="61"/>
      <c r="AQ170" s="61"/>
      <c r="AR170" s="61"/>
      <c r="AS170" s="61"/>
      <c r="AT170" s="61"/>
      <c r="AU170" s="61"/>
      <c r="AV170" s="61"/>
      <c r="AW170" s="61"/>
      <c r="AX170" s="61"/>
      <c r="AY170" s="61"/>
      <c r="AZ170" s="134"/>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4"/>
      <c r="S171" s="61"/>
      <c r="T171" s="61"/>
      <c r="U171" s="61"/>
      <c r="V171" s="61"/>
      <c r="W171" s="61"/>
      <c r="X171" s="61"/>
      <c r="Y171" s="61"/>
      <c r="Z171" s="61"/>
      <c r="AA171" s="61"/>
      <c r="AB171" s="61"/>
      <c r="AC171" s="61"/>
      <c r="AD171" s="61"/>
      <c r="AE171" s="144"/>
      <c r="AF171" s="61"/>
      <c r="AG171" s="61"/>
      <c r="AH171" s="61"/>
      <c r="AI171" s="61"/>
      <c r="AJ171" s="61"/>
      <c r="AK171" s="61"/>
      <c r="AL171" s="61"/>
      <c r="AM171" s="61"/>
      <c r="AN171" s="61"/>
      <c r="AO171" s="61"/>
      <c r="AP171" s="61"/>
      <c r="AQ171" s="61"/>
      <c r="AR171" s="61"/>
      <c r="AS171" s="61"/>
      <c r="AT171" s="61"/>
      <c r="AU171" s="61"/>
      <c r="AV171" s="61"/>
      <c r="AW171" s="61"/>
      <c r="AX171" s="61"/>
      <c r="AY171" s="61"/>
      <c r="AZ171" s="134"/>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4"/>
      <c r="S172" s="61"/>
      <c r="T172" s="61"/>
      <c r="U172" s="61"/>
      <c r="V172" s="61"/>
      <c r="W172" s="61"/>
      <c r="X172" s="61"/>
      <c r="Y172" s="61"/>
      <c r="Z172" s="61"/>
      <c r="AA172" s="61"/>
      <c r="AB172" s="61"/>
      <c r="AC172" s="61"/>
      <c r="AD172" s="61"/>
      <c r="AE172" s="144"/>
      <c r="AF172" s="61"/>
      <c r="AG172" s="61"/>
      <c r="AH172" s="61"/>
      <c r="AI172" s="61"/>
      <c r="AJ172" s="61"/>
      <c r="AK172" s="61"/>
      <c r="AL172" s="61"/>
      <c r="AM172" s="61"/>
      <c r="AN172" s="61"/>
      <c r="AO172" s="61"/>
      <c r="AP172" s="61"/>
      <c r="AQ172" s="61"/>
      <c r="AR172" s="61"/>
      <c r="AS172" s="61"/>
      <c r="AT172" s="61"/>
      <c r="AU172" s="61"/>
      <c r="AV172" s="61"/>
      <c r="AW172" s="61"/>
      <c r="AX172" s="61"/>
      <c r="AY172" s="61"/>
      <c r="AZ172" s="134"/>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4"/>
      <c r="S173" s="61"/>
      <c r="T173" s="61"/>
      <c r="U173" s="61"/>
      <c r="V173" s="61"/>
      <c r="W173" s="61"/>
      <c r="X173" s="61"/>
      <c r="Y173" s="61"/>
      <c r="Z173" s="61"/>
      <c r="AA173" s="61"/>
      <c r="AB173" s="61"/>
      <c r="AC173" s="61"/>
      <c r="AD173" s="61"/>
      <c r="AE173" s="144"/>
      <c r="AF173" s="61"/>
      <c r="AG173" s="61"/>
      <c r="AH173" s="61"/>
      <c r="AI173" s="61"/>
      <c r="AJ173" s="61"/>
      <c r="AK173" s="61"/>
      <c r="AL173" s="61"/>
      <c r="AM173" s="61"/>
      <c r="AN173" s="61"/>
      <c r="AO173" s="61"/>
      <c r="AP173" s="61"/>
      <c r="AQ173" s="61"/>
      <c r="AR173" s="61"/>
      <c r="AS173" s="61"/>
      <c r="AT173" s="61"/>
      <c r="AU173" s="61"/>
      <c r="AV173" s="61"/>
      <c r="AW173" s="61"/>
      <c r="AX173" s="61"/>
      <c r="AY173" s="61"/>
      <c r="AZ173" s="134"/>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4"/>
      <c r="S174" s="61"/>
      <c r="T174" s="61"/>
      <c r="U174" s="61"/>
      <c r="V174" s="61"/>
      <c r="W174" s="61"/>
      <c r="X174" s="61"/>
      <c r="Y174" s="61"/>
      <c r="Z174" s="61"/>
      <c r="AA174" s="61"/>
      <c r="AB174" s="61"/>
      <c r="AC174" s="61"/>
      <c r="AD174" s="61"/>
      <c r="AE174" s="144"/>
      <c r="AF174" s="61"/>
      <c r="AG174" s="61"/>
      <c r="AH174" s="61"/>
      <c r="AI174" s="61"/>
      <c r="AJ174" s="61"/>
      <c r="AK174" s="61"/>
      <c r="AL174" s="61"/>
      <c r="AM174" s="61"/>
      <c r="AN174" s="61"/>
      <c r="AO174" s="61"/>
      <c r="AP174" s="61"/>
      <c r="AQ174" s="61"/>
      <c r="AR174" s="61"/>
      <c r="AS174" s="61"/>
      <c r="AT174" s="61"/>
      <c r="AU174" s="61"/>
      <c r="AV174" s="61"/>
      <c r="AW174" s="61"/>
      <c r="AX174" s="61"/>
      <c r="AY174" s="61"/>
      <c r="AZ174" s="134"/>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4"/>
      <c r="S175" s="61"/>
      <c r="T175" s="61"/>
      <c r="U175" s="61"/>
      <c r="V175" s="61"/>
      <c r="W175" s="61"/>
      <c r="X175" s="61"/>
      <c r="Y175" s="61"/>
      <c r="Z175" s="61"/>
      <c r="AA175" s="61"/>
      <c r="AB175" s="61"/>
      <c r="AC175" s="61"/>
      <c r="AD175" s="61"/>
      <c r="AE175" s="144"/>
      <c r="AF175" s="61"/>
      <c r="AG175" s="61"/>
      <c r="AH175" s="61"/>
      <c r="AI175" s="61"/>
      <c r="AJ175" s="61"/>
      <c r="AK175" s="61"/>
      <c r="AL175" s="61"/>
      <c r="AM175" s="61"/>
      <c r="AN175" s="61"/>
      <c r="AO175" s="61"/>
      <c r="AP175" s="61"/>
      <c r="AQ175" s="61"/>
      <c r="AR175" s="61"/>
      <c r="AS175" s="61"/>
      <c r="AT175" s="61"/>
      <c r="AU175" s="61"/>
      <c r="AV175" s="61"/>
      <c r="AW175" s="61"/>
      <c r="AX175" s="61"/>
      <c r="AY175" s="61"/>
      <c r="AZ175" s="134"/>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4"/>
      <c r="S176" s="61"/>
      <c r="T176" s="61"/>
      <c r="U176" s="61"/>
      <c r="V176" s="61"/>
      <c r="W176" s="61"/>
      <c r="X176" s="61"/>
      <c r="Y176" s="61"/>
      <c r="Z176" s="61"/>
      <c r="AA176" s="61"/>
      <c r="AB176" s="61"/>
      <c r="AC176" s="61"/>
      <c r="AD176" s="61"/>
      <c r="AE176" s="144"/>
      <c r="AF176" s="61"/>
      <c r="AG176" s="61"/>
      <c r="AH176" s="61"/>
      <c r="AI176" s="61"/>
      <c r="AJ176" s="61"/>
      <c r="AK176" s="61"/>
      <c r="AL176" s="61"/>
      <c r="AM176" s="61"/>
      <c r="AN176" s="61"/>
      <c r="AO176" s="61"/>
      <c r="AP176" s="61"/>
      <c r="AQ176" s="61"/>
      <c r="AR176" s="61"/>
      <c r="AS176" s="61"/>
      <c r="AT176" s="61"/>
      <c r="AU176" s="61"/>
      <c r="AV176" s="61"/>
      <c r="AW176" s="61"/>
      <c r="AX176" s="61"/>
      <c r="AY176" s="61"/>
      <c r="AZ176" s="134"/>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4"/>
      <c r="S177" s="61"/>
      <c r="T177" s="61"/>
      <c r="U177" s="61"/>
      <c r="V177" s="61"/>
      <c r="W177" s="61"/>
      <c r="X177" s="61"/>
      <c r="Y177" s="61"/>
      <c r="Z177" s="61"/>
      <c r="AA177" s="61"/>
      <c r="AB177" s="61"/>
      <c r="AC177" s="61"/>
      <c r="AD177" s="61"/>
      <c r="AE177" s="144"/>
      <c r="AF177" s="61"/>
      <c r="AG177" s="61"/>
      <c r="AH177" s="61"/>
      <c r="AI177" s="61"/>
      <c r="AJ177" s="61"/>
      <c r="AK177" s="61"/>
      <c r="AL177" s="61"/>
      <c r="AM177" s="61"/>
      <c r="AN177" s="61"/>
      <c r="AO177" s="61"/>
      <c r="AP177" s="61"/>
      <c r="AQ177" s="61"/>
      <c r="AR177" s="61"/>
      <c r="AS177" s="61"/>
      <c r="AT177" s="61"/>
      <c r="AU177" s="61"/>
      <c r="AV177" s="61"/>
      <c r="AW177" s="61"/>
      <c r="AX177" s="61"/>
      <c r="AY177" s="61"/>
      <c r="AZ177" s="134"/>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4"/>
      <c r="S178" s="61"/>
      <c r="T178" s="61"/>
      <c r="U178" s="61"/>
      <c r="V178" s="61"/>
      <c r="W178" s="61"/>
      <c r="X178" s="61"/>
      <c r="Y178" s="61"/>
      <c r="Z178" s="61"/>
      <c r="AA178" s="61"/>
      <c r="AB178" s="61"/>
      <c r="AC178" s="61"/>
      <c r="AD178" s="61"/>
      <c r="AE178" s="144"/>
      <c r="AF178" s="61"/>
      <c r="AG178" s="61"/>
      <c r="AH178" s="61"/>
      <c r="AI178" s="61"/>
      <c r="AJ178" s="61"/>
      <c r="AK178" s="61"/>
      <c r="AL178" s="61"/>
      <c r="AM178" s="61"/>
      <c r="AN178" s="61"/>
      <c r="AO178" s="61"/>
      <c r="AP178" s="61"/>
      <c r="AQ178" s="61"/>
      <c r="AR178" s="61"/>
      <c r="AS178" s="61"/>
      <c r="AT178" s="61"/>
      <c r="AU178" s="61"/>
      <c r="AV178" s="61"/>
      <c r="AW178" s="61"/>
      <c r="AX178" s="61"/>
      <c r="AY178" s="61"/>
      <c r="AZ178" s="134"/>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4"/>
      <c r="S179" s="61"/>
      <c r="T179" s="61"/>
      <c r="U179" s="61"/>
      <c r="V179" s="61"/>
      <c r="W179" s="61"/>
      <c r="X179" s="61"/>
      <c r="Y179" s="61"/>
      <c r="Z179" s="61"/>
      <c r="AA179" s="61"/>
      <c r="AB179" s="61"/>
      <c r="AC179" s="61"/>
      <c r="AD179" s="61"/>
      <c r="AE179" s="144"/>
      <c r="AF179" s="61"/>
      <c r="AG179" s="61"/>
      <c r="AH179" s="61"/>
      <c r="AI179" s="61"/>
      <c r="AJ179" s="61"/>
      <c r="AK179" s="61"/>
      <c r="AL179" s="61"/>
      <c r="AM179" s="61"/>
      <c r="AN179" s="61"/>
      <c r="AO179" s="61"/>
      <c r="AP179" s="61"/>
      <c r="AQ179" s="61"/>
      <c r="AR179" s="61"/>
      <c r="AS179" s="61"/>
      <c r="AT179" s="61"/>
      <c r="AU179" s="61"/>
      <c r="AV179" s="61"/>
      <c r="AW179" s="61"/>
      <c r="AX179" s="61"/>
      <c r="AY179" s="61"/>
      <c r="AZ179" s="134"/>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4"/>
      <c r="S180" s="61"/>
      <c r="T180" s="61"/>
      <c r="U180" s="61"/>
      <c r="V180" s="61"/>
      <c r="W180" s="61"/>
      <c r="X180" s="61"/>
      <c r="Y180" s="61"/>
      <c r="Z180" s="61"/>
      <c r="AA180" s="61"/>
      <c r="AB180" s="61"/>
      <c r="AC180" s="61"/>
      <c r="AD180" s="61"/>
      <c r="AE180" s="144"/>
      <c r="AF180" s="61"/>
      <c r="AG180" s="61"/>
      <c r="AH180" s="61"/>
      <c r="AI180" s="61"/>
      <c r="AJ180" s="61"/>
      <c r="AK180" s="61"/>
      <c r="AL180" s="61"/>
      <c r="AM180" s="61"/>
      <c r="AN180" s="61"/>
      <c r="AO180" s="61"/>
      <c r="AP180" s="61"/>
      <c r="AQ180" s="61"/>
      <c r="AR180" s="61"/>
      <c r="AS180" s="61"/>
      <c r="AT180" s="61"/>
      <c r="AU180" s="61"/>
      <c r="AV180" s="61"/>
      <c r="AW180" s="61"/>
      <c r="AX180" s="61"/>
      <c r="AY180" s="61"/>
      <c r="AZ180" s="134"/>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4"/>
      <c r="S181" s="61"/>
      <c r="T181" s="61"/>
      <c r="U181" s="61"/>
      <c r="V181" s="61"/>
      <c r="W181" s="61"/>
      <c r="X181" s="61"/>
      <c r="Y181" s="61"/>
      <c r="Z181" s="61"/>
      <c r="AA181" s="61"/>
      <c r="AB181" s="61"/>
      <c r="AC181" s="61"/>
      <c r="AD181" s="61"/>
      <c r="AE181" s="144"/>
      <c r="AF181" s="61"/>
      <c r="AG181" s="61"/>
      <c r="AH181" s="61"/>
      <c r="AI181" s="61"/>
      <c r="AJ181" s="61"/>
      <c r="AK181" s="61"/>
      <c r="AL181" s="61"/>
      <c r="AM181" s="61"/>
      <c r="AN181" s="61"/>
      <c r="AO181" s="61"/>
      <c r="AP181" s="61"/>
      <c r="AQ181" s="61"/>
      <c r="AR181" s="61"/>
      <c r="AS181" s="61"/>
      <c r="AT181" s="61"/>
      <c r="AU181" s="61"/>
      <c r="AV181" s="61"/>
      <c r="AW181" s="61"/>
      <c r="AX181" s="61"/>
      <c r="AY181" s="61"/>
      <c r="AZ181" s="134"/>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4"/>
      <c r="S182" s="61"/>
      <c r="T182" s="61"/>
      <c r="U182" s="61"/>
      <c r="V182" s="61"/>
      <c r="W182" s="61"/>
      <c r="X182" s="61"/>
      <c r="Y182" s="61"/>
      <c r="Z182" s="61"/>
      <c r="AA182" s="61"/>
      <c r="AB182" s="61"/>
      <c r="AC182" s="61"/>
      <c r="AD182" s="61"/>
      <c r="AE182" s="144"/>
      <c r="AF182" s="61"/>
      <c r="AG182" s="61"/>
      <c r="AH182" s="61"/>
      <c r="AI182" s="61"/>
      <c r="AJ182" s="61"/>
      <c r="AK182" s="61"/>
      <c r="AL182" s="61"/>
      <c r="AM182" s="61"/>
      <c r="AN182" s="61"/>
      <c r="AO182" s="61"/>
      <c r="AP182" s="61"/>
      <c r="AQ182" s="61"/>
      <c r="AR182" s="61"/>
      <c r="AS182" s="61"/>
      <c r="AT182" s="61"/>
      <c r="AU182" s="61"/>
      <c r="AV182" s="61"/>
      <c r="AW182" s="61"/>
      <c r="AX182" s="61"/>
      <c r="AY182" s="61"/>
      <c r="AZ182" s="134"/>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4"/>
      <c r="S183" s="61"/>
      <c r="T183" s="61"/>
      <c r="U183" s="61"/>
      <c r="V183" s="61"/>
      <c r="W183" s="61"/>
      <c r="X183" s="61"/>
      <c r="Y183" s="61"/>
      <c r="Z183" s="61"/>
      <c r="AA183" s="61"/>
      <c r="AB183" s="61"/>
      <c r="AC183" s="61"/>
      <c r="AD183" s="61"/>
      <c r="AE183" s="144"/>
      <c r="AF183" s="61"/>
      <c r="AG183" s="61"/>
      <c r="AH183" s="61"/>
      <c r="AI183" s="61"/>
      <c r="AJ183" s="61"/>
      <c r="AK183" s="61"/>
      <c r="AL183" s="61"/>
      <c r="AM183" s="61"/>
      <c r="AN183" s="61"/>
      <c r="AO183" s="61"/>
      <c r="AP183" s="61"/>
      <c r="AQ183" s="61"/>
      <c r="AR183" s="61"/>
      <c r="AS183" s="61"/>
      <c r="AT183" s="61"/>
      <c r="AU183" s="61"/>
      <c r="AV183" s="61"/>
      <c r="AW183" s="61"/>
      <c r="AX183" s="61"/>
      <c r="AY183" s="61"/>
      <c r="AZ183" s="134"/>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4"/>
      <c r="S184" s="61"/>
      <c r="T184" s="61"/>
      <c r="U184" s="61"/>
      <c r="V184" s="61"/>
      <c r="W184" s="61"/>
      <c r="X184" s="61"/>
      <c r="Y184" s="61"/>
      <c r="Z184" s="61"/>
      <c r="AA184" s="61"/>
      <c r="AB184" s="61"/>
      <c r="AC184" s="61"/>
      <c r="AD184" s="61"/>
      <c r="AE184" s="144"/>
      <c r="AF184" s="61"/>
      <c r="AG184" s="61"/>
      <c r="AH184" s="61"/>
      <c r="AI184" s="61"/>
      <c r="AJ184" s="61"/>
      <c r="AK184" s="61"/>
      <c r="AL184" s="61"/>
      <c r="AM184" s="61"/>
      <c r="AN184" s="61"/>
      <c r="AO184" s="61"/>
      <c r="AP184" s="61"/>
      <c r="AQ184" s="61"/>
      <c r="AR184" s="61"/>
      <c r="AS184" s="61"/>
      <c r="AT184" s="61"/>
      <c r="AU184" s="61"/>
      <c r="AV184" s="61"/>
      <c r="AW184" s="61"/>
      <c r="AX184" s="61"/>
      <c r="AY184" s="61"/>
      <c r="AZ184" s="134"/>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4"/>
      <c r="S185" s="61"/>
      <c r="T185" s="61"/>
      <c r="U185" s="61"/>
      <c r="V185" s="61"/>
      <c r="W185" s="61"/>
      <c r="X185" s="61"/>
      <c r="Y185" s="61"/>
      <c r="Z185" s="61"/>
      <c r="AA185" s="61"/>
      <c r="AB185" s="61"/>
      <c r="AC185" s="61"/>
      <c r="AD185" s="61"/>
      <c r="AE185" s="144"/>
      <c r="AF185" s="61"/>
      <c r="AG185" s="61"/>
      <c r="AH185" s="61"/>
      <c r="AI185" s="61"/>
      <c r="AJ185" s="61"/>
      <c r="AK185" s="61"/>
      <c r="AL185" s="61"/>
      <c r="AM185" s="61"/>
      <c r="AN185" s="61"/>
      <c r="AO185" s="61"/>
      <c r="AP185" s="61"/>
      <c r="AQ185" s="61"/>
      <c r="AR185" s="61"/>
      <c r="AS185" s="61"/>
      <c r="AT185" s="61"/>
      <c r="AU185" s="61"/>
      <c r="AV185" s="61"/>
      <c r="AW185" s="61"/>
      <c r="AX185" s="61"/>
      <c r="AY185" s="61"/>
      <c r="AZ185" s="134"/>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4"/>
      <c r="S186" s="61"/>
      <c r="T186" s="61"/>
      <c r="U186" s="61"/>
      <c r="V186" s="61"/>
      <c r="W186" s="61"/>
      <c r="X186" s="61"/>
      <c r="Y186" s="61"/>
      <c r="Z186" s="61"/>
      <c r="AA186" s="61"/>
      <c r="AB186" s="61"/>
      <c r="AC186" s="61"/>
      <c r="AD186" s="61"/>
      <c r="AE186" s="144"/>
      <c r="AF186" s="61"/>
      <c r="AG186" s="61"/>
      <c r="AH186" s="61"/>
      <c r="AI186" s="61"/>
      <c r="AJ186" s="61"/>
      <c r="AK186" s="61"/>
      <c r="AL186" s="61"/>
      <c r="AM186" s="61"/>
      <c r="AN186" s="61"/>
      <c r="AO186" s="61"/>
      <c r="AP186" s="61"/>
      <c r="AQ186" s="61"/>
      <c r="AR186" s="61"/>
      <c r="AS186" s="61"/>
      <c r="AT186" s="61"/>
      <c r="AU186" s="61"/>
      <c r="AV186" s="61"/>
      <c r="AW186" s="61"/>
      <c r="AX186" s="61"/>
      <c r="AY186" s="61"/>
      <c r="AZ186" s="134"/>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4"/>
      <c r="S187" s="61"/>
      <c r="T187" s="61"/>
      <c r="U187" s="61"/>
      <c r="V187" s="61"/>
      <c r="W187" s="61"/>
      <c r="X187" s="61"/>
      <c r="Y187" s="61"/>
      <c r="Z187" s="61"/>
      <c r="AA187" s="61"/>
      <c r="AB187" s="61"/>
      <c r="AC187" s="61"/>
      <c r="AD187" s="61"/>
      <c r="AE187" s="144"/>
      <c r="AF187" s="61"/>
      <c r="AG187" s="61"/>
      <c r="AH187" s="61"/>
      <c r="AI187" s="61"/>
      <c r="AJ187" s="61"/>
      <c r="AK187" s="61"/>
      <c r="AL187" s="61"/>
      <c r="AM187" s="61"/>
      <c r="AN187" s="61"/>
      <c r="AO187" s="61"/>
      <c r="AP187" s="61"/>
      <c r="AQ187" s="61"/>
      <c r="AR187" s="61"/>
      <c r="AS187" s="61"/>
      <c r="AT187" s="61"/>
      <c r="AU187" s="61"/>
      <c r="AV187" s="61"/>
      <c r="AW187" s="61"/>
      <c r="AX187" s="61"/>
      <c r="AY187" s="61"/>
      <c r="AZ187" s="134"/>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4"/>
      <c r="S188" s="61"/>
      <c r="T188" s="61"/>
      <c r="U188" s="61"/>
      <c r="V188" s="61"/>
      <c r="W188" s="61"/>
      <c r="X188" s="61"/>
      <c r="Y188" s="61"/>
      <c r="Z188" s="61"/>
      <c r="AA188" s="61"/>
      <c r="AB188" s="61"/>
      <c r="AC188" s="61"/>
      <c r="AD188" s="61"/>
      <c r="AE188" s="144"/>
      <c r="AF188" s="61"/>
      <c r="AG188" s="61"/>
      <c r="AH188" s="61"/>
      <c r="AI188" s="61"/>
      <c r="AJ188" s="61"/>
      <c r="AK188" s="61"/>
      <c r="AL188" s="61"/>
      <c r="AM188" s="61"/>
      <c r="AN188" s="61"/>
      <c r="AO188" s="61"/>
      <c r="AP188" s="61"/>
      <c r="AQ188" s="61"/>
      <c r="AR188" s="61"/>
      <c r="AS188" s="61"/>
      <c r="AT188" s="61"/>
      <c r="AU188" s="61"/>
      <c r="AV188" s="61"/>
      <c r="AW188" s="61"/>
      <c r="AX188" s="61"/>
      <c r="AY188" s="61"/>
      <c r="AZ188" s="134"/>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4"/>
      <c r="S189" s="61"/>
      <c r="T189" s="61"/>
      <c r="U189" s="61"/>
      <c r="V189" s="61"/>
      <c r="W189" s="61"/>
      <c r="X189" s="61"/>
      <c r="Y189" s="61"/>
      <c r="Z189" s="61"/>
      <c r="AA189" s="61"/>
      <c r="AB189" s="61"/>
      <c r="AC189" s="61"/>
      <c r="AD189" s="61"/>
      <c r="AE189" s="144"/>
      <c r="AF189" s="61"/>
      <c r="AG189" s="61"/>
      <c r="AH189" s="61"/>
      <c r="AI189" s="61"/>
      <c r="AJ189" s="61"/>
      <c r="AK189" s="61"/>
      <c r="AL189" s="61"/>
      <c r="AM189" s="61"/>
      <c r="AN189" s="61"/>
      <c r="AO189" s="61"/>
      <c r="AP189" s="61"/>
      <c r="AQ189" s="61"/>
      <c r="AR189" s="61"/>
      <c r="AS189" s="61"/>
      <c r="AT189" s="61"/>
      <c r="AU189" s="61"/>
      <c r="AV189" s="61"/>
      <c r="AW189" s="61"/>
      <c r="AX189" s="61"/>
      <c r="AY189" s="61"/>
      <c r="AZ189" s="134"/>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4"/>
      <c r="S190" s="61"/>
      <c r="T190" s="61"/>
      <c r="U190" s="61"/>
      <c r="V190" s="61"/>
      <c r="W190" s="61"/>
      <c r="X190" s="61"/>
      <c r="Y190" s="61"/>
      <c r="Z190" s="61"/>
      <c r="AA190" s="61"/>
      <c r="AB190" s="61"/>
      <c r="AC190" s="61"/>
      <c r="AD190" s="61"/>
      <c r="AE190" s="144"/>
      <c r="AF190" s="61"/>
      <c r="AG190" s="61"/>
      <c r="AH190" s="61"/>
      <c r="AI190" s="61"/>
      <c r="AJ190" s="61"/>
      <c r="AK190" s="61"/>
      <c r="AL190" s="61"/>
      <c r="AM190" s="61"/>
      <c r="AN190" s="61"/>
      <c r="AO190" s="61"/>
      <c r="AP190" s="61"/>
      <c r="AQ190" s="61"/>
      <c r="AR190" s="61"/>
      <c r="AS190" s="61"/>
      <c r="AT190" s="61"/>
      <c r="AU190" s="61"/>
      <c r="AV190" s="61"/>
      <c r="AW190" s="61"/>
      <c r="AX190" s="61"/>
      <c r="AY190" s="61"/>
      <c r="AZ190" s="134"/>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4"/>
      <c r="S191" s="61"/>
      <c r="T191" s="61"/>
      <c r="U191" s="61"/>
      <c r="V191" s="61"/>
      <c r="W191" s="61"/>
      <c r="X191" s="61"/>
      <c r="Y191" s="61"/>
      <c r="Z191" s="61"/>
      <c r="AA191" s="61"/>
      <c r="AB191" s="61"/>
      <c r="AC191" s="61"/>
      <c r="AD191" s="61"/>
      <c r="AE191" s="144"/>
      <c r="AF191" s="61"/>
      <c r="AG191" s="61"/>
      <c r="AH191" s="61"/>
      <c r="AI191" s="61"/>
      <c r="AJ191" s="61"/>
      <c r="AK191" s="61"/>
      <c r="AL191" s="61"/>
      <c r="AM191" s="61"/>
      <c r="AN191" s="61"/>
      <c r="AO191" s="61"/>
      <c r="AP191" s="61"/>
      <c r="AQ191" s="61"/>
      <c r="AR191" s="61"/>
      <c r="AS191" s="61"/>
      <c r="AT191" s="61"/>
      <c r="AU191" s="61"/>
      <c r="AV191" s="61"/>
      <c r="AW191" s="61"/>
      <c r="AX191" s="61"/>
      <c r="AY191" s="61"/>
      <c r="AZ191" s="134"/>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4"/>
      <c r="S192" s="61"/>
      <c r="T192" s="61"/>
      <c r="U192" s="61"/>
      <c r="V192" s="61"/>
      <c r="W192" s="61"/>
      <c r="X192" s="61"/>
      <c r="Y192" s="61"/>
      <c r="Z192" s="61"/>
      <c r="AA192" s="61"/>
      <c r="AB192" s="61"/>
      <c r="AC192" s="61"/>
      <c r="AD192" s="61"/>
      <c r="AE192" s="144"/>
      <c r="AF192" s="61"/>
      <c r="AG192" s="61"/>
      <c r="AH192" s="61"/>
      <c r="AI192" s="61"/>
      <c r="AJ192" s="61"/>
      <c r="AK192" s="61"/>
      <c r="AL192" s="61"/>
      <c r="AM192" s="61"/>
      <c r="AN192" s="61"/>
      <c r="AO192" s="61"/>
      <c r="AP192" s="61"/>
      <c r="AQ192" s="61"/>
      <c r="AR192" s="61"/>
      <c r="AS192" s="61"/>
      <c r="AT192" s="61"/>
      <c r="AU192" s="61"/>
      <c r="AV192" s="61"/>
      <c r="AW192" s="61"/>
      <c r="AX192" s="61"/>
      <c r="AY192" s="61"/>
      <c r="AZ192" s="134"/>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4"/>
      <c r="S193" s="61"/>
      <c r="T193" s="61"/>
      <c r="U193" s="61"/>
      <c r="V193" s="61"/>
      <c r="W193" s="61"/>
      <c r="X193" s="61"/>
      <c r="Y193" s="61"/>
      <c r="Z193" s="61"/>
      <c r="AA193" s="61"/>
      <c r="AB193" s="61"/>
      <c r="AC193" s="61"/>
      <c r="AD193" s="61"/>
      <c r="AE193" s="144"/>
      <c r="AF193" s="61"/>
      <c r="AG193" s="61"/>
      <c r="AH193" s="61"/>
      <c r="AI193" s="61"/>
      <c r="AJ193" s="61"/>
      <c r="AK193" s="61"/>
      <c r="AL193" s="61"/>
      <c r="AM193" s="61"/>
      <c r="AN193" s="61"/>
      <c r="AO193" s="61"/>
      <c r="AP193" s="61"/>
      <c r="AQ193" s="61"/>
      <c r="AR193" s="61"/>
      <c r="AS193" s="61"/>
      <c r="AT193" s="61"/>
      <c r="AU193" s="61"/>
      <c r="AV193" s="61"/>
      <c r="AW193" s="61"/>
      <c r="AX193" s="61"/>
      <c r="AY193" s="61"/>
      <c r="AZ193" s="134"/>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4"/>
      <c r="S194" s="61"/>
      <c r="T194" s="61"/>
      <c r="U194" s="61"/>
      <c r="V194" s="61"/>
      <c r="W194" s="61"/>
      <c r="X194" s="61"/>
      <c r="Y194" s="61"/>
      <c r="Z194" s="61"/>
      <c r="AA194" s="61"/>
      <c r="AB194" s="61"/>
      <c r="AC194" s="61"/>
      <c r="AD194" s="61"/>
      <c r="AE194" s="144"/>
      <c r="AF194" s="61"/>
      <c r="AG194" s="61"/>
      <c r="AH194" s="61"/>
      <c r="AI194" s="61"/>
      <c r="AJ194" s="61"/>
      <c r="AK194" s="61"/>
      <c r="AL194" s="61"/>
      <c r="AM194" s="61"/>
      <c r="AN194" s="61"/>
      <c r="AO194" s="61"/>
      <c r="AP194" s="61"/>
      <c r="AQ194" s="61"/>
      <c r="AR194" s="61"/>
      <c r="AS194" s="61"/>
      <c r="AT194" s="61"/>
      <c r="AU194" s="61"/>
      <c r="AV194" s="61"/>
      <c r="AW194" s="61"/>
      <c r="AX194" s="61"/>
      <c r="AY194" s="61"/>
      <c r="AZ194" s="134"/>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4"/>
      <c r="S195" s="61"/>
      <c r="T195" s="61"/>
      <c r="U195" s="61"/>
      <c r="V195" s="61"/>
      <c r="W195" s="61"/>
      <c r="X195" s="61"/>
      <c r="Y195" s="61"/>
      <c r="Z195" s="61"/>
      <c r="AA195" s="61"/>
      <c r="AB195" s="61"/>
      <c r="AC195" s="61"/>
      <c r="AD195" s="61"/>
      <c r="AE195" s="144"/>
      <c r="AF195" s="61"/>
      <c r="AG195" s="61"/>
      <c r="AH195" s="61"/>
      <c r="AI195" s="61"/>
      <c r="AJ195" s="61"/>
      <c r="AK195" s="61"/>
      <c r="AL195" s="61"/>
      <c r="AM195" s="61"/>
      <c r="AN195" s="61"/>
      <c r="AO195" s="61"/>
      <c r="AP195" s="61"/>
      <c r="AQ195" s="61"/>
      <c r="AR195" s="61"/>
      <c r="AS195" s="61"/>
      <c r="AT195" s="61"/>
      <c r="AU195" s="61"/>
      <c r="AV195" s="61"/>
      <c r="AW195" s="61"/>
      <c r="AX195" s="61"/>
      <c r="AY195" s="61"/>
      <c r="AZ195" s="134"/>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4"/>
      <c r="S196" s="61"/>
      <c r="T196" s="61"/>
      <c r="U196" s="61"/>
      <c r="V196" s="61"/>
      <c r="W196" s="61"/>
      <c r="X196" s="61"/>
      <c r="Y196" s="61"/>
      <c r="Z196" s="61"/>
      <c r="AA196" s="61"/>
      <c r="AB196" s="61"/>
      <c r="AC196" s="61"/>
      <c r="AD196" s="61"/>
      <c r="AE196" s="144"/>
      <c r="AF196" s="61"/>
      <c r="AG196" s="61"/>
      <c r="AH196" s="61"/>
      <c r="AI196" s="61"/>
      <c r="AJ196" s="61"/>
      <c r="AK196" s="61"/>
      <c r="AL196" s="61"/>
      <c r="AM196" s="61"/>
      <c r="AN196" s="61"/>
      <c r="AO196" s="61"/>
      <c r="AP196" s="61"/>
      <c r="AQ196" s="61"/>
      <c r="AR196" s="61"/>
      <c r="AS196" s="61"/>
      <c r="AT196" s="61"/>
      <c r="AU196" s="61"/>
      <c r="AV196" s="61"/>
      <c r="AW196" s="61"/>
      <c r="AX196" s="61"/>
      <c r="AY196" s="61"/>
      <c r="AZ196" s="134"/>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4"/>
      <c r="S197" s="61"/>
      <c r="T197" s="61"/>
      <c r="U197" s="61"/>
      <c r="V197" s="61"/>
      <c r="W197" s="61"/>
      <c r="X197" s="61"/>
      <c r="Y197" s="61"/>
      <c r="Z197" s="61"/>
      <c r="AA197" s="61"/>
      <c r="AB197" s="61"/>
      <c r="AC197" s="61"/>
      <c r="AD197" s="61"/>
      <c r="AE197" s="144"/>
      <c r="AF197" s="61"/>
      <c r="AG197" s="61"/>
      <c r="AH197" s="61"/>
      <c r="AI197" s="61"/>
      <c r="AJ197" s="61"/>
      <c r="AK197" s="61"/>
      <c r="AL197" s="61"/>
      <c r="AM197" s="61"/>
      <c r="AN197" s="61"/>
      <c r="AO197" s="61"/>
      <c r="AP197" s="61"/>
      <c r="AQ197" s="61"/>
      <c r="AR197" s="61"/>
      <c r="AS197" s="61"/>
      <c r="AT197" s="61"/>
      <c r="AU197" s="61"/>
      <c r="AV197" s="61"/>
      <c r="AW197" s="61"/>
      <c r="AX197" s="61"/>
      <c r="AY197" s="61"/>
      <c r="AZ197" s="134"/>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4"/>
      <c r="S198" s="61"/>
      <c r="T198" s="61"/>
      <c r="U198" s="61"/>
      <c r="V198" s="61"/>
      <c r="W198" s="61"/>
      <c r="X198" s="61"/>
      <c r="Y198" s="61"/>
      <c r="Z198" s="61"/>
      <c r="AA198" s="61"/>
      <c r="AB198" s="61"/>
      <c r="AC198" s="61"/>
      <c r="AD198" s="61"/>
      <c r="AE198" s="144"/>
      <c r="AF198" s="61"/>
      <c r="AG198" s="61"/>
      <c r="AH198" s="61"/>
      <c r="AI198" s="61"/>
      <c r="AJ198" s="61"/>
      <c r="AK198" s="61"/>
      <c r="AL198" s="61"/>
      <c r="AM198" s="61"/>
      <c r="AN198" s="61"/>
      <c r="AO198" s="61"/>
      <c r="AP198" s="61"/>
      <c r="AQ198" s="61"/>
      <c r="AR198" s="61"/>
      <c r="AS198" s="61"/>
      <c r="AT198" s="61"/>
      <c r="AU198" s="61"/>
      <c r="AV198" s="61"/>
      <c r="AW198" s="61"/>
      <c r="AX198" s="61"/>
      <c r="AY198" s="61"/>
      <c r="AZ198" s="134"/>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4"/>
      <c r="S199" s="61"/>
      <c r="T199" s="61"/>
      <c r="U199" s="61"/>
      <c r="V199" s="61"/>
      <c r="W199" s="61"/>
      <c r="X199" s="61"/>
      <c r="Y199" s="61"/>
      <c r="Z199" s="61"/>
      <c r="AA199" s="61"/>
      <c r="AB199" s="61"/>
      <c r="AC199" s="61"/>
      <c r="AD199" s="61"/>
      <c r="AE199" s="144"/>
      <c r="AF199" s="61"/>
      <c r="AG199" s="61"/>
      <c r="AH199" s="61"/>
      <c r="AI199" s="61"/>
      <c r="AJ199" s="61"/>
      <c r="AK199" s="61"/>
      <c r="AL199" s="61"/>
      <c r="AM199" s="61"/>
      <c r="AN199" s="61"/>
      <c r="AO199" s="61"/>
      <c r="AP199" s="61"/>
      <c r="AQ199" s="61"/>
      <c r="AR199" s="61"/>
      <c r="AS199" s="61"/>
      <c r="AT199" s="61"/>
      <c r="AU199" s="61"/>
      <c r="AV199" s="61"/>
      <c r="AW199" s="61"/>
      <c r="AX199" s="61"/>
      <c r="AY199" s="61"/>
      <c r="AZ199" s="134"/>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4"/>
      <c r="S200" s="61"/>
      <c r="T200" s="61"/>
      <c r="U200" s="61"/>
      <c r="V200" s="61"/>
      <c r="W200" s="61"/>
      <c r="X200" s="61"/>
      <c r="Y200" s="61"/>
      <c r="Z200" s="61"/>
      <c r="AA200" s="61"/>
      <c r="AB200" s="61"/>
      <c r="AC200" s="61"/>
      <c r="AD200" s="61"/>
      <c r="AE200" s="144"/>
      <c r="AF200" s="61"/>
      <c r="AG200" s="61"/>
      <c r="AH200" s="61"/>
      <c r="AI200" s="61"/>
      <c r="AJ200" s="61"/>
      <c r="AK200" s="61"/>
      <c r="AL200" s="61"/>
      <c r="AM200" s="61"/>
      <c r="AN200" s="61"/>
      <c r="AO200" s="61"/>
      <c r="AP200" s="61"/>
      <c r="AQ200" s="61"/>
      <c r="AR200" s="61"/>
      <c r="AS200" s="61"/>
      <c r="AT200" s="61"/>
      <c r="AU200" s="61"/>
      <c r="AV200" s="61"/>
      <c r="AW200" s="61"/>
      <c r="AX200" s="61"/>
      <c r="AY200" s="61"/>
      <c r="AZ200" s="134"/>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4"/>
      <c r="S201" s="61"/>
      <c r="T201" s="61"/>
      <c r="U201" s="61"/>
      <c r="V201" s="61"/>
      <c r="W201" s="61"/>
      <c r="X201" s="61"/>
      <c r="Y201" s="61"/>
      <c r="Z201" s="61"/>
      <c r="AA201" s="61"/>
      <c r="AB201" s="61"/>
      <c r="AC201" s="61"/>
      <c r="AD201" s="61"/>
      <c r="AE201" s="144"/>
      <c r="AF201" s="61"/>
      <c r="AG201" s="61"/>
      <c r="AH201" s="61"/>
      <c r="AI201" s="61"/>
      <c r="AJ201" s="61"/>
      <c r="AK201" s="61"/>
      <c r="AL201" s="61"/>
      <c r="AM201" s="61"/>
      <c r="AN201" s="61"/>
      <c r="AO201" s="61"/>
      <c r="AP201" s="61"/>
      <c r="AQ201" s="61"/>
      <c r="AR201" s="61"/>
      <c r="AS201" s="61"/>
      <c r="AT201" s="61"/>
      <c r="AU201" s="61"/>
      <c r="AV201" s="61"/>
      <c r="AW201" s="61"/>
      <c r="AX201" s="61"/>
      <c r="AY201" s="61"/>
      <c r="AZ201" s="134"/>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4"/>
      <c r="S202" s="61"/>
      <c r="T202" s="61"/>
      <c r="U202" s="61"/>
      <c r="V202" s="61"/>
      <c r="W202" s="61"/>
      <c r="X202" s="61"/>
      <c r="Y202" s="61"/>
      <c r="Z202" s="61"/>
      <c r="AA202" s="61"/>
      <c r="AB202" s="61"/>
      <c r="AC202" s="61"/>
      <c r="AD202" s="61"/>
      <c r="AE202" s="144"/>
      <c r="AF202" s="61"/>
      <c r="AG202" s="61"/>
      <c r="AH202" s="61"/>
      <c r="AI202" s="61"/>
      <c r="AJ202" s="61"/>
      <c r="AK202" s="61"/>
      <c r="AL202" s="61"/>
      <c r="AM202" s="61"/>
      <c r="AN202" s="61"/>
      <c r="AO202" s="61"/>
      <c r="AP202" s="61"/>
      <c r="AQ202" s="61"/>
      <c r="AR202" s="61"/>
      <c r="AS202" s="61"/>
      <c r="AT202" s="61"/>
      <c r="AU202" s="61"/>
      <c r="AV202" s="61"/>
      <c r="AW202" s="61"/>
      <c r="AX202" s="61"/>
      <c r="AY202" s="61"/>
      <c r="AZ202" s="134"/>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4"/>
      <c r="S203" s="61"/>
      <c r="T203" s="61"/>
      <c r="U203" s="61"/>
      <c r="V203" s="61"/>
      <c r="W203" s="61"/>
      <c r="X203" s="61"/>
      <c r="Y203" s="61"/>
      <c r="Z203" s="61"/>
      <c r="AA203" s="61"/>
      <c r="AB203" s="61"/>
      <c r="AC203" s="61"/>
      <c r="AD203" s="61"/>
      <c r="AE203" s="144"/>
      <c r="AF203" s="61"/>
      <c r="AG203" s="61"/>
      <c r="AH203" s="61"/>
      <c r="AI203" s="61"/>
      <c r="AJ203" s="61"/>
      <c r="AK203" s="61"/>
      <c r="AL203" s="61"/>
      <c r="AM203" s="61"/>
      <c r="AN203" s="61"/>
      <c r="AO203" s="61"/>
      <c r="AP203" s="61"/>
      <c r="AQ203" s="61"/>
      <c r="AR203" s="61"/>
      <c r="AS203" s="61"/>
      <c r="AT203" s="61"/>
      <c r="AU203" s="61"/>
      <c r="AV203" s="61"/>
      <c r="AW203" s="61"/>
      <c r="AX203" s="61"/>
      <c r="AY203" s="61"/>
      <c r="AZ203" s="134"/>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4"/>
      <c r="S204" s="61"/>
      <c r="T204" s="61"/>
      <c r="U204" s="61"/>
      <c r="V204" s="61"/>
      <c r="W204" s="61"/>
      <c r="X204" s="61"/>
      <c r="Y204" s="61"/>
      <c r="Z204" s="61"/>
      <c r="AA204" s="61"/>
      <c r="AB204" s="61"/>
      <c r="AC204" s="61"/>
      <c r="AD204" s="61"/>
      <c r="AE204" s="144"/>
      <c r="AF204" s="61"/>
      <c r="AG204" s="61"/>
      <c r="AH204" s="61"/>
      <c r="AI204" s="61"/>
      <c r="AJ204" s="61"/>
      <c r="AK204" s="61"/>
      <c r="AL204" s="61"/>
      <c r="AM204" s="61"/>
      <c r="AN204" s="61"/>
      <c r="AO204" s="61"/>
      <c r="AP204" s="61"/>
      <c r="AQ204" s="61"/>
      <c r="AR204" s="61"/>
      <c r="AS204" s="61"/>
      <c r="AT204" s="61"/>
      <c r="AU204" s="61"/>
      <c r="AV204" s="61"/>
      <c r="AW204" s="61"/>
      <c r="AX204" s="61"/>
      <c r="AY204" s="61"/>
      <c r="AZ204" s="134"/>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4"/>
      <c r="S205" s="61"/>
      <c r="T205" s="61"/>
      <c r="U205" s="61"/>
      <c r="V205" s="61"/>
      <c r="W205" s="61"/>
      <c r="X205" s="61"/>
      <c r="Y205" s="61"/>
      <c r="Z205" s="61"/>
      <c r="AA205" s="61"/>
      <c r="AB205" s="61"/>
      <c r="AC205" s="61"/>
      <c r="AD205" s="61"/>
      <c r="AE205" s="144"/>
      <c r="AF205" s="61"/>
      <c r="AG205" s="61"/>
      <c r="AH205" s="61"/>
      <c r="AI205" s="61"/>
      <c r="AJ205" s="61"/>
      <c r="AK205" s="61"/>
      <c r="AL205" s="61"/>
      <c r="AM205" s="61"/>
      <c r="AN205" s="61"/>
      <c r="AO205" s="61"/>
      <c r="AP205" s="61"/>
      <c r="AQ205" s="61"/>
      <c r="AR205" s="61"/>
      <c r="AS205" s="61"/>
      <c r="AT205" s="61"/>
      <c r="AU205" s="61"/>
      <c r="AV205" s="61"/>
      <c r="AW205" s="61"/>
      <c r="AX205" s="61"/>
      <c r="AY205" s="61"/>
      <c r="AZ205" s="134"/>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4"/>
      <c r="S206" s="61"/>
      <c r="T206" s="61"/>
      <c r="U206" s="61"/>
      <c r="V206" s="61"/>
      <c r="W206" s="61"/>
      <c r="X206" s="61"/>
      <c r="Y206" s="61"/>
      <c r="Z206" s="61"/>
      <c r="AA206" s="61"/>
      <c r="AB206" s="61"/>
      <c r="AC206" s="61"/>
      <c r="AD206" s="61"/>
      <c r="AE206" s="144"/>
      <c r="AF206" s="61"/>
      <c r="AG206" s="61"/>
      <c r="AH206" s="61"/>
      <c r="AI206" s="61"/>
      <c r="AJ206" s="61"/>
      <c r="AK206" s="61"/>
      <c r="AL206" s="61"/>
      <c r="AM206" s="61"/>
      <c r="AN206" s="61"/>
      <c r="AO206" s="61"/>
      <c r="AP206" s="61"/>
      <c r="AQ206" s="61"/>
      <c r="AR206" s="61"/>
      <c r="AS206" s="61"/>
      <c r="AT206" s="61"/>
      <c r="AU206" s="61"/>
      <c r="AV206" s="61"/>
      <c r="AW206" s="61"/>
      <c r="AX206" s="61"/>
      <c r="AY206" s="61"/>
      <c r="AZ206" s="134"/>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4"/>
      <c r="S207" s="61"/>
      <c r="T207" s="61"/>
      <c r="U207" s="61"/>
      <c r="V207" s="61"/>
      <c r="W207" s="61"/>
      <c r="X207" s="61"/>
      <c r="Y207" s="61"/>
      <c r="Z207" s="61"/>
      <c r="AA207" s="61"/>
      <c r="AB207" s="61"/>
      <c r="AC207" s="61"/>
      <c r="AD207" s="61"/>
      <c r="AE207" s="144"/>
      <c r="AF207" s="61"/>
      <c r="AG207" s="61"/>
      <c r="AH207" s="61"/>
      <c r="AI207" s="61"/>
      <c r="AJ207" s="61"/>
      <c r="AK207" s="61"/>
      <c r="AL207" s="61"/>
      <c r="AM207" s="61"/>
      <c r="AN207" s="61"/>
      <c r="AO207" s="61"/>
      <c r="AP207" s="61"/>
      <c r="AQ207" s="61"/>
      <c r="AR207" s="61"/>
      <c r="AS207" s="61"/>
      <c r="AT207" s="61"/>
      <c r="AU207" s="61"/>
      <c r="AV207" s="61"/>
      <c r="AW207" s="61"/>
      <c r="AX207" s="61"/>
      <c r="AY207" s="61"/>
      <c r="AZ207" s="134"/>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4"/>
      <c r="S208" s="61"/>
      <c r="T208" s="61"/>
      <c r="U208" s="61"/>
      <c r="V208" s="61"/>
      <c r="W208" s="61"/>
      <c r="X208" s="61"/>
      <c r="Y208" s="61"/>
      <c r="Z208" s="61"/>
      <c r="AA208" s="61"/>
      <c r="AB208" s="61"/>
      <c r="AC208" s="61"/>
      <c r="AD208" s="61"/>
      <c r="AE208" s="144"/>
      <c r="AF208" s="61"/>
      <c r="AG208" s="61"/>
      <c r="AH208" s="61"/>
      <c r="AI208" s="61"/>
      <c r="AJ208" s="61"/>
      <c r="AK208" s="61"/>
      <c r="AL208" s="61"/>
      <c r="AM208" s="61"/>
      <c r="AN208" s="61"/>
      <c r="AO208" s="61"/>
      <c r="AP208" s="61"/>
      <c r="AQ208" s="61"/>
      <c r="AR208" s="61"/>
      <c r="AS208" s="61"/>
      <c r="AT208" s="61"/>
      <c r="AU208" s="61"/>
      <c r="AV208" s="61"/>
      <c r="AW208" s="61"/>
      <c r="AX208" s="61"/>
      <c r="AY208" s="61"/>
      <c r="AZ208" s="134"/>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4"/>
      <c r="S209" s="61"/>
      <c r="T209" s="61"/>
      <c r="U209" s="61"/>
      <c r="V209" s="61"/>
      <c r="W209" s="61"/>
      <c r="X209" s="61"/>
      <c r="Y209" s="61"/>
      <c r="Z209" s="61"/>
      <c r="AA209" s="61"/>
      <c r="AB209" s="61"/>
      <c r="AC209" s="61"/>
      <c r="AD209" s="61"/>
      <c r="AE209" s="144"/>
      <c r="AF209" s="61"/>
      <c r="AG209" s="61"/>
      <c r="AH209" s="61"/>
      <c r="AI209" s="61"/>
      <c r="AJ209" s="61"/>
      <c r="AK209" s="61"/>
      <c r="AL209" s="61"/>
      <c r="AM209" s="61"/>
      <c r="AN209" s="61"/>
      <c r="AO209" s="61"/>
      <c r="AP209" s="61"/>
      <c r="AQ209" s="61"/>
      <c r="AR209" s="61"/>
      <c r="AS209" s="61"/>
      <c r="AT209" s="61"/>
      <c r="AU209" s="61"/>
      <c r="AV209" s="61"/>
      <c r="AW209" s="61"/>
      <c r="AX209" s="61"/>
      <c r="AY209" s="61"/>
      <c r="AZ209" s="134"/>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4"/>
      <c r="S210" s="61"/>
      <c r="T210" s="61"/>
      <c r="U210" s="61"/>
      <c r="V210" s="61"/>
      <c r="W210" s="61"/>
      <c r="X210" s="61"/>
      <c r="Y210" s="61"/>
      <c r="Z210" s="61"/>
      <c r="AA210" s="61"/>
      <c r="AB210" s="61"/>
      <c r="AC210" s="61"/>
      <c r="AD210" s="61"/>
      <c r="AE210" s="144"/>
      <c r="AF210" s="61"/>
      <c r="AG210" s="61"/>
      <c r="AH210" s="61"/>
      <c r="AI210" s="61"/>
      <c r="AJ210" s="61"/>
      <c r="AK210" s="61"/>
      <c r="AL210" s="61"/>
      <c r="AM210" s="61"/>
      <c r="AN210" s="61"/>
      <c r="AO210" s="61"/>
      <c r="AP210" s="61"/>
      <c r="AQ210" s="61"/>
      <c r="AR210" s="61"/>
      <c r="AS210" s="61"/>
      <c r="AT210" s="61"/>
      <c r="AU210" s="61"/>
      <c r="AV210" s="61"/>
      <c r="AW210" s="61"/>
      <c r="AX210" s="61"/>
      <c r="AY210" s="61"/>
      <c r="AZ210" s="134"/>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4"/>
      <c r="S211" s="61"/>
      <c r="T211" s="61"/>
      <c r="U211" s="61"/>
      <c r="V211" s="61"/>
      <c r="W211" s="61"/>
      <c r="X211" s="61"/>
      <c r="Y211" s="61"/>
      <c r="Z211" s="61"/>
      <c r="AA211" s="61"/>
      <c r="AB211" s="61"/>
      <c r="AC211" s="61"/>
      <c r="AD211" s="61"/>
      <c r="AE211" s="144"/>
      <c r="AF211" s="61"/>
      <c r="AG211" s="61"/>
      <c r="AH211" s="61"/>
      <c r="AI211" s="61"/>
      <c r="AJ211" s="61"/>
      <c r="AK211" s="61"/>
      <c r="AL211" s="61"/>
      <c r="AM211" s="61"/>
      <c r="AN211" s="61"/>
      <c r="AO211" s="61"/>
      <c r="AP211" s="61"/>
      <c r="AQ211" s="61"/>
      <c r="AR211" s="61"/>
      <c r="AS211" s="61"/>
      <c r="AT211" s="61"/>
      <c r="AU211" s="61"/>
      <c r="AV211" s="61"/>
      <c r="AW211" s="61"/>
      <c r="AX211" s="61"/>
      <c r="AY211" s="61"/>
      <c r="AZ211" s="134"/>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4"/>
      <c r="S212" s="61"/>
      <c r="T212" s="61"/>
      <c r="U212" s="61"/>
      <c r="V212" s="61"/>
      <c r="W212" s="61"/>
      <c r="X212" s="61"/>
      <c r="Y212" s="61"/>
      <c r="Z212" s="61"/>
      <c r="AA212" s="61"/>
      <c r="AB212" s="61"/>
      <c r="AC212" s="61"/>
      <c r="AD212" s="61"/>
      <c r="AE212" s="144"/>
      <c r="AF212" s="61"/>
      <c r="AG212" s="61"/>
      <c r="AH212" s="61"/>
      <c r="AI212" s="61"/>
      <c r="AJ212" s="61"/>
      <c r="AK212" s="61"/>
      <c r="AL212" s="61"/>
      <c r="AM212" s="61"/>
      <c r="AN212" s="61"/>
      <c r="AO212" s="61"/>
      <c r="AP212" s="61"/>
      <c r="AQ212" s="61"/>
      <c r="AR212" s="61"/>
      <c r="AS212" s="61"/>
      <c r="AT212" s="61"/>
      <c r="AU212" s="61"/>
      <c r="AV212" s="61"/>
      <c r="AW212" s="61"/>
      <c r="AX212" s="61"/>
      <c r="AY212" s="61"/>
      <c r="AZ212" s="134"/>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4"/>
      <c r="S213" s="61"/>
      <c r="T213" s="61"/>
      <c r="U213" s="61"/>
      <c r="V213" s="61"/>
      <c r="W213" s="61"/>
      <c r="X213" s="61"/>
      <c r="Y213" s="61"/>
      <c r="Z213" s="61"/>
      <c r="AA213" s="61"/>
      <c r="AB213" s="61"/>
      <c r="AC213" s="61"/>
      <c r="AD213" s="61"/>
      <c r="AE213" s="144"/>
      <c r="AF213" s="61"/>
      <c r="AG213" s="61"/>
      <c r="AH213" s="61"/>
      <c r="AI213" s="61"/>
      <c r="AJ213" s="61"/>
      <c r="AK213" s="61"/>
      <c r="AL213" s="61"/>
      <c r="AM213" s="61"/>
      <c r="AN213" s="61"/>
      <c r="AO213" s="61"/>
      <c r="AP213" s="61"/>
      <c r="AQ213" s="61"/>
      <c r="AR213" s="61"/>
      <c r="AS213" s="61"/>
      <c r="AT213" s="61"/>
      <c r="AU213" s="61"/>
      <c r="AV213" s="61"/>
      <c r="AW213" s="61"/>
      <c r="AX213" s="61"/>
      <c r="AY213" s="61"/>
      <c r="AZ213" s="134"/>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4"/>
      <c r="S214" s="61"/>
      <c r="T214" s="61"/>
      <c r="U214" s="61"/>
      <c r="V214" s="61"/>
      <c r="W214" s="61"/>
      <c r="X214" s="61"/>
      <c r="Y214" s="61"/>
      <c r="Z214" s="61"/>
      <c r="AA214" s="61"/>
      <c r="AB214" s="61"/>
      <c r="AC214" s="61"/>
      <c r="AD214" s="61"/>
      <c r="AE214" s="144"/>
      <c r="AF214" s="61"/>
      <c r="AG214" s="61"/>
      <c r="AH214" s="61"/>
      <c r="AI214" s="61"/>
      <c r="AJ214" s="61"/>
      <c r="AK214" s="61"/>
      <c r="AL214" s="61"/>
      <c r="AM214" s="61"/>
      <c r="AN214" s="61"/>
      <c r="AO214" s="61"/>
      <c r="AP214" s="61"/>
      <c r="AQ214" s="61"/>
      <c r="AR214" s="61"/>
      <c r="AS214" s="61"/>
      <c r="AT214" s="61"/>
      <c r="AU214" s="61"/>
      <c r="AV214" s="61"/>
      <c r="AW214" s="61"/>
      <c r="AX214" s="61"/>
      <c r="AY214" s="61"/>
      <c r="AZ214" s="134"/>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4"/>
      <c r="S215" s="61"/>
      <c r="T215" s="61"/>
      <c r="U215" s="61"/>
      <c r="V215" s="61"/>
      <c r="W215" s="61"/>
      <c r="X215" s="61"/>
      <c r="Y215" s="61"/>
      <c r="Z215" s="61"/>
      <c r="AA215" s="61"/>
      <c r="AB215" s="61"/>
      <c r="AC215" s="61"/>
      <c r="AD215" s="61"/>
      <c r="AE215" s="144"/>
      <c r="AF215" s="61"/>
      <c r="AG215" s="61"/>
      <c r="AH215" s="61"/>
      <c r="AI215" s="61"/>
      <c r="AJ215" s="61"/>
      <c r="AK215" s="61"/>
      <c r="AL215" s="61"/>
      <c r="AM215" s="61"/>
      <c r="AN215" s="61"/>
      <c r="AO215" s="61"/>
      <c r="AP215" s="61"/>
      <c r="AQ215" s="61"/>
      <c r="AR215" s="61"/>
      <c r="AS215" s="61"/>
      <c r="AT215" s="61"/>
      <c r="AU215" s="61"/>
      <c r="AV215" s="61"/>
      <c r="AW215" s="61"/>
      <c r="AX215" s="61"/>
      <c r="AY215" s="61"/>
      <c r="AZ215" s="134"/>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4"/>
      <c r="S216" s="61"/>
      <c r="T216" s="61"/>
      <c r="U216" s="61"/>
      <c r="V216" s="61"/>
      <c r="W216" s="61"/>
      <c r="X216" s="61"/>
      <c r="Y216" s="61"/>
      <c r="Z216" s="61"/>
      <c r="AA216" s="61"/>
      <c r="AB216" s="61"/>
      <c r="AC216" s="61"/>
      <c r="AD216" s="61"/>
      <c r="AE216" s="144"/>
      <c r="AF216" s="61"/>
      <c r="AG216" s="61"/>
      <c r="AH216" s="61"/>
      <c r="AI216" s="61"/>
      <c r="AJ216" s="61"/>
      <c r="AK216" s="61"/>
      <c r="AL216" s="61"/>
      <c r="AM216" s="61"/>
      <c r="AN216" s="61"/>
      <c r="AO216" s="61"/>
      <c r="AP216" s="61"/>
      <c r="AQ216" s="61"/>
      <c r="AR216" s="61"/>
      <c r="AS216" s="61"/>
      <c r="AT216" s="61"/>
      <c r="AU216" s="61"/>
      <c r="AV216" s="61"/>
      <c r="AW216" s="61"/>
      <c r="AX216" s="61"/>
      <c r="AY216" s="61"/>
      <c r="AZ216" s="134"/>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4"/>
      <c r="S217" s="61"/>
      <c r="T217" s="61"/>
      <c r="U217" s="61"/>
      <c r="V217" s="61"/>
      <c r="W217" s="61"/>
      <c r="X217" s="61"/>
      <c r="Y217" s="61"/>
      <c r="Z217" s="61"/>
      <c r="AA217" s="61"/>
      <c r="AB217" s="61"/>
      <c r="AC217" s="61"/>
      <c r="AD217" s="61"/>
      <c r="AE217" s="144"/>
      <c r="AF217" s="61"/>
      <c r="AG217" s="61"/>
      <c r="AH217" s="61"/>
      <c r="AI217" s="61"/>
      <c r="AJ217" s="61"/>
      <c r="AK217" s="61"/>
      <c r="AL217" s="61"/>
      <c r="AM217" s="61"/>
      <c r="AN217" s="61"/>
      <c r="AO217" s="61"/>
      <c r="AP217" s="61"/>
      <c r="AQ217" s="61"/>
      <c r="AR217" s="61"/>
      <c r="AS217" s="61"/>
      <c r="AT217" s="61"/>
      <c r="AU217" s="61"/>
      <c r="AV217" s="61"/>
      <c r="AW217" s="61"/>
      <c r="AX217" s="61"/>
      <c r="AY217" s="61"/>
      <c r="AZ217" s="134"/>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4"/>
      <c r="S218" s="61"/>
      <c r="T218" s="61"/>
      <c r="U218" s="61"/>
      <c r="V218" s="61"/>
      <c r="W218" s="61"/>
      <c r="X218" s="61"/>
      <c r="Y218" s="61"/>
      <c r="Z218" s="61"/>
      <c r="AA218" s="61"/>
      <c r="AB218" s="61"/>
      <c r="AC218" s="61"/>
      <c r="AD218" s="61"/>
      <c r="AE218" s="144"/>
      <c r="AF218" s="61"/>
      <c r="AG218" s="61"/>
      <c r="AH218" s="61"/>
      <c r="AI218" s="61"/>
      <c r="AJ218" s="61"/>
      <c r="AK218" s="61"/>
      <c r="AL218" s="61"/>
      <c r="AM218" s="61"/>
      <c r="AN218" s="61"/>
      <c r="AO218" s="61"/>
      <c r="AP218" s="61"/>
      <c r="AQ218" s="61"/>
      <c r="AR218" s="61"/>
      <c r="AS218" s="61"/>
      <c r="AT218" s="61"/>
      <c r="AU218" s="61"/>
      <c r="AV218" s="61"/>
      <c r="AW218" s="61"/>
      <c r="AX218" s="61"/>
      <c r="AY218" s="61"/>
      <c r="AZ218" s="134"/>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4"/>
      <c r="S219" s="61"/>
      <c r="T219" s="61"/>
      <c r="U219" s="61"/>
      <c r="V219" s="61"/>
      <c r="W219" s="61"/>
      <c r="X219" s="61"/>
      <c r="Y219" s="61"/>
      <c r="Z219" s="61"/>
      <c r="AA219" s="61"/>
      <c r="AB219" s="61"/>
      <c r="AC219" s="61"/>
      <c r="AD219" s="61"/>
      <c r="AE219" s="144"/>
      <c r="AF219" s="61"/>
      <c r="AG219" s="61"/>
      <c r="AH219" s="61"/>
      <c r="AI219" s="61"/>
      <c r="AJ219" s="61"/>
      <c r="AK219" s="61"/>
      <c r="AL219" s="61"/>
      <c r="AM219" s="61"/>
      <c r="AN219" s="61"/>
      <c r="AO219" s="61"/>
      <c r="AP219" s="61"/>
      <c r="AQ219" s="61"/>
      <c r="AR219" s="61"/>
      <c r="AS219" s="61"/>
      <c r="AT219" s="61"/>
      <c r="AU219" s="61"/>
      <c r="AV219" s="61"/>
      <c r="AW219" s="61"/>
      <c r="AX219" s="61"/>
      <c r="AY219" s="61"/>
      <c r="AZ219" s="134"/>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4"/>
      <c r="S220" s="61"/>
      <c r="T220" s="61"/>
      <c r="U220" s="61"/>
      <c r="V220" s="61"/>
      <c r="W220" s="61"/>
      <c r="X220" s="61"/>
      <c r="Y220" s="61"/>
      <c r="Z220" s="61"/>
      <c r="AA220" s="61"/>
      <c r="AB220" s="61"/>
      <c r="AC220" s="61"/>
      <c r="AD220" s="61"/>
      <c r="AE220" s="144"/>
      <c r="AF220" s="61"/>
      <c r="AG220" s="61"/>
      <c r="AH220" s="61"/>
      <c r="AI220" s="61"/>
      <c r="AJ220" s="61"/>
      <c r="AK220" s="61"/>
      <c r="AL220" s="61"/>
      <c r="AM220" s="61"/>
      <c r="AN220" s="61"/>
      <c r="AO220" s="61"/>
      <c r="AP220" s="61"/>
      <c r="AQ220" s="61"/>
      <c r="AR220" s="61"/>
      <c r="AS220" s="61"/>
      <c r="AT220" s="61"/>
      <c r="AU220" s="61"/>
      <c r="AV220" s="61"/>
      <c r="AW220" s="61"/>
      <c r="AX220" s="61"/>
      <c r="AY220" s="61"/>
      <c r="AZ220" s="134"/>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6" t="s">
        <v>213</v>
      </c>
      <c r="BJ3" s="93"/>
      <c r="BK3" s="147" t="s">
        <v>34</v>
      </c>
      <c r="BL3" s="93"/>
      <c r="BM3" s="148" t="s">
        <v>32</v>
      </c>
      <c r="BN3" s="93"/>
      <c r="BO3" s="149" t="s">
        <v>27</v>
      </c>
      <c r="BP3" s="149" t="s">
        <v>27</v>
      </c>
      <c r="BQ3" s="149" t="s">
        <v>27</v>
      </c>
      <c r="BR3" s="93"/>
      <c r="BS3" s="150" t="s">
        <v>33</v>
      </c>
      <c r="BT3" s="150" t="s">
        <v>33</v>
      </c>
      <c r="BU3" s="150" t="s">
        <v>33</v>
      </c>
      <c r="BV3" s="93"/>
      <c r="BW3" s="149" t="s">
        <v>35</v>
      </c>
      <c r="BX3" s="93"/>
      <c r="BY3" s="151" t="s">
        <v>38</v>
      </c>
      <c r="BZ3" s="93"/>
      <c r="CA3" s="152" t="s">
        <v>31</v>
      </c>
      <c r="CB3" s="153"/>
      <c r="CC3" s="154" t="s">
        <v>36</v>
      </c>
      <c r="CD3" s="93"/>
      <c r="CE3" s="155" t="s">
        <v>30</v>
      </c>
      <c r="CF3" s="93"/>
      <c r="CG3" s="156" t="s">
        <v>28</v>
      </c>
      <c r="CH3" s="156" t="s">
        <v>28</v>
      </c>
      <c r="CI3" s="156" t="s">
        <v>28</v>
      </c>
      <c r="CJ3" s="156"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7"/>
      <c r="B5" s="158" t="s">
        <v>907</v>
      </c>
      <c r="C5" s="158" t="s">
        <v>907</v>
      </c>
      <c r="D5" s="158" t="s">
        <v>907</v>
      </c>
      <c r="E5" s="158" t="s">
        <v>907</v>
      </c>
      <c r="F5" s="158"/>
      <c r="G5" s="158" t="s">
        <v>907</v>
      </c>
      <c r="H5" s="158" t="s">
        <v>907</v>
      </c>
      <c r="I5" s="158" t="s">
        <v>907</v>
      </c>
      <c r="J5" s="158" t="s">
        <v>907</v>
      </c>
      <c r="K5" s="158"/>
      <c r="L5" s="158" t="s">
        <v>907</v>
      </c>
      <c r="M5" s="158" t="s">
        <v>907</v>
      </c>
      <c r="N5" s="158" t="s">
        <v>907</v>
      </c>
      <c r="O5" s="158" t="s">
        <v>907</v>
      </c>
      <c r="P5" s="158"/>
      <c r="Q5" s="158" t="s">
        <v>908</v>
      </c>
      <c r="R5" s="158" t="s">
        <v>908</v>
      </c>
      <c r="S5" s="158" t="s">
        <v>908</v>
      </c>
      <c r="T5" s="158" t="s">
        <v>908</v>
      </c>
      <c r="U5" s="157"/>
      <c r="V5" s="159" t="s">
        <v>909</v>
      </c>
      <c r="W5" s="159" t="s">
        <v>909</v>
      </c>
      <c r="X5" s="159" t="s">
        <v>909</v>
      </c>
      <c r="Y5" s="159" t="s">
        <v>909</v>
      </c>
      <c r="Z5" s="159"/>
      <c r="AA5" s="159" t="s">
        <v>910</v>
      </c>
      <c r="AB5" s="159" t="s">
        <v>910</v>
      </c>
      <c r="AC5" s="159" t="s">
        <v>910</v>
      </c>
      <c r="AD5" s="159" t="s">
        <v>910</v>
      </c>
      <c r="AE5" s="159"/>
      <c r="AF5" s="159" t="s">
        <v>911</v>
      </c>
      <c r="AG5" s="159" t="s">
        <v>911</v>
      </c>
      <c r="AH5" s="159" t="s">
        <v>911</v>
      </c>
      <c r="AI5" s="159" t="s">
        <v>911</v>
      </c>
      <c r="AJ5" s="159"/>
      <c r="AK5" s="159" t="s">
        <v>912</v>
      </c>
      <c r="AL5" s="159" t="s">
        <v>912</v>
      </c>
      <c r="AM5" s="159" t="s">
        <v>912</v>
      </c>
      <c r="AN5" s="159" t="s">
        <v>912</v>
      </c>
      <c r="AO5" s="157"/>
      <c r="AP5" s="159" t="s">
        <v>913</v>
      </c>
      <c r="AQ5" s="159" t="s">
        <v>913</v>
      </c>
      <c r="AR5" s="159" t="s">
        <v>913</v>
      </c>
      <c r="AS5" s="159" t="s">
        <v>914</v>
      </c>
      <c r="AT5" s="157"/>
      <c r="AU5" s="159" t="s">
        <v>915</v>
      </c>
      <c r="AV5" s="159" t="s">
        <v>915</v>
      </c>
      <c r="AW5" s="159" t="s">
        <v>915</v>
      </c>
      <c r="AX5" s="159" t="s">
        <v>915</v>
      </c>
      <c r="AY5" s="159"/>
      <c r="AZ5" s="159" t="s">
        <v>916</v>
      </c>
      <c r="BA5" s="159" t="s">
        <v>916</v>
      </c>
      <c r="BB5" s="159" t="s">
        <v>916</v>
      </c>
      <c r="BC5" s="159" t="s">
        <v>916</v>
      </c>
      <c r="BD5" s="157"/>
      <c r="BE5" s="159" t="s">
        <v>917</v>
      </c>
      <c r="BF5" s="159" t="s">
        <v>917</v>
      </c>
      <c r="BG5" s="159" t="s">
        <v>917</v>
      </c>
      <c r="BH5" s="157"/>
      <c r="BI5" s="159" t="s">
        <v>918</v>
      </c>
      <c r="BJ5" s="157"/>
      <c r="BK5" s="159" t="s">
        <v>919</v>
      </c>
      <c r="BL5" s="157"/>
      <c r="BM5" s="159" t="s">
        <v>920</v>
      </c>
      <c r="BN5" s="157"/>
      <c r="BO5" s="159" t="s">
        <v>921</v>
      </c>
      <c r="BP5" s="159" t="s">
        <v>921</v>
      </c>
      <c r="BQ5" s="159" t="s">
        <v>921</v>
      </c>
      <c r="BR5" s="157"/>
      <c r="BS5" s="159" t="s">
        <v>922</v>
      </c>
      <c r="BT5" s="159" t="s">
        <v>922</v>
      </c>
      <c r="BU5" s="159" t="s">
        <v>922</v>
      </c>
      <c r="BV5" s="157"/>
      <c r="BW5" s="159" t="s">
        <v>923</v>
      </c>
      <c r="BX5" s="157"/>
      <c r="BY5" s="159" t="s">
        <v>917</v>
      </c>
      <c r="BZ5" s="157"/>
      <c r="CA5" s="159" t="s">
        <v>924</v>
      </c>
      <c r="CB5" s="157"/>
      <c r="CC5" s="159" t="s">
        <v>925</v>
      </c>
      <c r="CD5" s="157"/>
      <c r="CE5" s="159" t="s">
        <v>926</v>
      </c>
      <c r="CF5" s="157"/>
      <c r="CG5" s="159" t="s">
        <v>927</v>
      </c>
      <c r="CH5" s="159" t="s">
        <v>927</v>
      </c>
      <c r="CI5" s="159" t="s">
        <v>927</v>
      </c>
      <c r="CJ5" s="159" t="s">
        <v>927</v>
      </c>
      <c r="CK5" s="157"/>
      <c r="CL5" s="157"/>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8" t="s">
        <v>1006</v>
      </c>
      <c r="BP8" s="158" t="s">
        <v>1006</v>
      </c>
      <c r="BQ8" s="158"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8"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8" t="s">
        <v>1040</v>
      </c>
      <c r="AV10" s="158" t="s">
        <v>1040</v>
      </c>
      <c r="AW10" s="158" t="s">
        <v>1040</v>
      </c>
      <c r="AX10" s="158" t="s">
        <v>1040</v>
      </c>
      <c r="AY10" s="91"/>
      <c r="AZ10" s="158" t="s">
        <v>1053</v>
      </c>
      <c r="BA10" s="158" t="s">
        <v>1053</v>
      </c>
      <c r="BB10" s="158" t="s">
        <v>1053</v>
      </c>
      <c r="BC10" s="158"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8" t="s">
        <v>1076</v>
      </c>
      <c r="AT11" s="91"/>
      <c r="AU11" s="91" t="s">
        <v>1077</v>
      </c>
      <c r="AV11" s="91" t="s">
        <v>1077</v>
      </c>
      <c r="AW11" s="91" t="s">
        <v>1077</v>
      </c>
      <c r="AX11" s="91" t="s">
        <v>1078</v>
      </c>
      <c r="AY11" s="91"/>
      <c r="AZ11" s="158" t="s">
        <v>1079</v>
      </c>
      <c r="BA11" s="158" t="s">
        <v>1079</v>
      </c>
      <c r="BB11" s="158" t="s">
        <v>1079</v>
      </c>
      <c r="BC11" s="158" t="s">
        <v>1080</v>
      </c>
      <c r="BD11" s="91"/>
      <c r="BE11" s="91" t="s">
        <v>1081</v>
      </c>
      <c r="BF11" s="91" t="s">
        <v>1081</v>
      </c>
      <c r="BG11" s="91" t="s">
        <v>1081</v>
      </c>
      <c r="BH11" s="91"/>
      <c r="BI11" s="91" t="s">
        <v>1082</v>
      </c>
      <c r="BJ11" s="91"/>
      <c r="BK11" s="158"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59" t="s">
        <v>1093</v>
      </c>
      <c r="C12" s="159" t="s">
        <v>1093</v>
      </c>
      <c r="D12" s="159" t="s">
        <v>1093</v>
      </c>
      <c r="E12" s="159" t="s">
        <v>1093</v>
      </c>
      <c r="F12" s="159"/>
      <c r="G12" s="159" t="s">
        <v>1093</v>
      </c>
      <c r="H12" s="159" t="s">
        <v>1093</v>
      </c>
      <c r="I12" s="159" t="s">
        <v>1093</v>
      </c>
      <c r="J12" s="159" t="s">
        <v>1093</v>
      </c>
      <c r="K12" s="159"/>
      <c r="L12" s="159" t="s">
        <v>1093</v>
      </c>
      <c r="M12" s="159" t="s">
        <v>1093</v>
      </c>
      <c r="N12" s="159" t="s">
        <v>1093</v>
      </c>
      <c r="O12" s="159" t="s">
        <v>1093</v>
      </c>
      <c r="P12" s="159"/>
      <c r="Q12" s="159" t="s">
        <v>1093</v>
      </c>
      <c r="R12" s="159" t="s">
        <v>1093</v>
      </c>
      <c r="S12" s="159" t="s">
        <v>1093</v>
      </c>
      <c r="T12" s="159"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8" t="s">
        <v>1076</v>
      </c>
      <c r="AQ12" s="158" t="s">
        <v>1076</v>
      </c>
      <c r="AR12" s="158" t="s">
        <v>1076</v>
      </c>
      <c r="AS12" s="91" t="s">
        <v>1102</v>
      </c>
      <c r="AT12" s="91"/>
      <c r="AU12" s="91" t="s">
        <v>1103</v>
      </c>
      <c r="AV12" s="91" t="s">
        <v>1103</v>
      </c>
      <c r="AW12" s="91" t="s">
        <v>1103</v>
      </c>
      <c r="AX12" s="91" t="s">
        <v>1104</v>
      </c>
      <c r="AY12" s="91"/>
      <c r="AZ12" s="158" t="s">
        <v>1105</v>
      </c>
      <c r="BA12" s="158" t="s">
        <v>1105</v>
      </c>
      <c r="BB12" s="158" t="s">
        <v>1105</v>
      </c>
      <c r="BC12" s="158"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59" t="s">
        <v>1112</v>
      </c>
      <c r="BT12" s="159" t="s">
        <v>1112</v>
      </c>
      <c r="BU12" s="159"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8" t="s">
        <v>1132</v>
      </c>
      <c r="BA13" s="158" t="s">
        <v>1132</v>
      </c>
      <c r="BB13" s="158" t="s">
        <v>1132</v>
      </c>
      <c r="BC13" s="158"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8"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59" t="s">
        <v>1152</v>
      </c>
      <c r="AL14" s="159" t="s">
        <v>1152</v>
      </c>
      <c r="AM14" s="159" t="s">
        <v>1152</v>
      </c>
      <c r="AN14" s="91" t="s">
        <v>1153</v>
      </c>
      <c r="AO14" s="91"/>
      <c r="AP14" s="91" t="s">
        <v>1154</v>
      </c>
      <c r="AQ14" s="91" t="s">
        <v>1154</v>
      </c>
      <c r="AR14" s="91" t="s">
        <v>1154</v>
      </c>
      <c r="AS14" s="91" t="s">
        <v>1155</v>
      </c>
      <c r="AT14" s="91"/>
      <c r="AU14" s="91" t="s">
        <v>1156</v>
      </c>
      <c r="AV14" s="91" t="s">
        <v>1156</v>
      </c>
      <c r="AW14" s="91" t="s">
        <v>1156</v>
      </c>
      <c r="AX14" s="91" t="s">
        <v>1157</v>
      </c>
      <c r="AY14" s="91"/>
      <c r="AZ14" s="158" t="s">
        <v>1158</v>
      </c>
      <c r="BA14" s="158" t="s">
        <v>1158</v>
      </c>
      <c r="BB14" s="158" t="s">
        <v>1158</v>
      </c>
      <c r="BC14" s="158" t="s">
        <v>1159</v>
      </c>
      <c r="BD14" s="91"/>
      <c r="BE14" s="91" t="s">
        <v>1160</v>
      </c>
      <c r="BF14" s="91" t="s">
        <v>1160</v>
      </c>
      <c r="BG14" s="91" t="s">
        <v>1160</v>
      </c>
      <c r="BH14" s="91"/>
      <c r="BI14" s="158" t="s">
        <v>1161</v>
      </c>
      <c r="BJ14" s="91"/>
      <c r="BK14" s="91" t="s">
        <v>1162</v>
      </c>
      <c r="BL14" s="91"/>
      <c r="BM14" s="91" t="s">
        <v>1163</v>
      </c>
      <c r="BN14" s="91"/>
      <c r="BO14" s="159" t="s">
        <v>1164</v>
      </c>
      <c r="BP14" s="159" t="s">
        <v>1164</v>
      </c>
      <c r="BQ14" s="159"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8" t="s">
        <v>1171</v>
      </c>
      <c r="CH14" s="158" t="s">
        <v>1171</v>
      </c>
      <c r="CI14" s="158" t="s">
        <v>1171</v>
      </c>
      <c r="CJ14" s="158"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8" t="s">
        <v>1185</v>
      </c>
      <c r="BA15" s="158" t="s">
        <v>1185</v>
      </c>
      <c r="BB15" s="158" t="s">
        <v>1185</v>
      </c>
      <c r="BC15" s="158" t="s">
        <v>1186</v>
      </c>
      <c r="BD15" s="91"/>
      <c r="BE15" s="158" t="s">
        <v>1187</v>
      </c>
      <c r="BF15" s="158" t="s">
        <v>1187</v>
      </c>
      <c r="BG15" s="158" t="s">
        <v>1187</v>
      </c>
      <c r="BH15" s="91"/>
      <c r="BI15" s="158" t="s">
        <v>1188</v>
      </c>
      <c r="BJ15" s="91"/>
      <c r="BK15" s="91" t="s">
        <v>1189</v>
      </c>
      <c r="BL15" s="91"/>
      <c r="BM15" s="159"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8" t="s">
        <v>1196</v>
      </c>
      <c r="CD15" s="91"/>
      <c r="CE15" s="158"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0" t="s">
        <v>1199</v>
      </c>
      <c r="M16" s="160" t="s">
        <v>1199</v>
      </c>
      <c r="N16" s="160" t="s">
        <v>1199</v>
      </c>
      <c r="O16" s="160" t="s">
        <v>1199</v>
      </c>
      <c r="P16" s="91"/>
      <c r="Q16" s="160" t="s">
        <v>1199</v>
      </c>
      <c r="R16" s="160" t="s">
        <v>1199</v>
      </c>
      <c r="S16" s="160" t="s">
        <v>1199</v>
      </c>
      <c r="T16" s="160"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8"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8" t="s">
        <v>1214</v>
      </c>
      <c r="BJ16" s="91"/>
      <c r="BK16" s="91" t="s">
        <v>1215</v>
      </c>
      <c r="BL16" s="91"/>
      <c r="BM16" s="91" t="s">
        <v>1216</v>
      </c>
      <c r="BN16" s="91"/>
      <c r="BO16" s="91" t="s">
        <v>1217</v>
      </c>
      <c r="BP16" s="91" t="s">
        <v>1217</v>
      </c>
      <c r="BQ16" s="91" t="s">
        <v>1217</v>
      </c>
      <c r="BR16" s="91"/>
      <c r="BS16" s="91" t="s">
        <v>1218</v>
      </c>
      <c r="BT16" s="91" t="s">
        <v>1218</v>
      </c>
      <c r="BU16" s="91" t="s">
        <v>1218</v>
      </c>
      <c r="BV16" s="91"/>
      <c r="BW16" s="159"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59" t="s">
        <v>1247</v>
      </c>
      <c r="BT17" s="159" t="s">
        <v>1247</v>
      </c>
      <c r="BU17" s="159" t="s">
        <v>1247</v>
      </c>
      <c r="BV17" s="91"/>
      <c r="BW17" s="159"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8"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59" t="s">
        <v>1274</v>
      </c>
      <c r="BX18" s="91"/>
      <c r="BY18" s="91" t="s">
        <v>1275</v>
      </c>
      <c r="BZ18" s="91"/>
      <c r="CA18" s="158"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59"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8" t="s">
        <v>1206</v>
      </c>
      <c r="AL20" s="158" t="s">
        <v>1206</v>
      </c>
      <c r="AM20" s="158" t="s">
        <v>1206</v>
      </c>
      <c r="AN20" s="91" t="s">
        <v>1321</v>
      </c>
      <c r="AO20" s="91"/>
      <c r="AP20" s="91" t="s">
        <v>1322</v>
      </c>
      <c r="AQ20" s="91" t="s">
        <v>1322</v>
      </c>
      <c r="AR20" s="91" t="s">
        <v>1322</v>
      </c>
      <c r="AS20" s="158"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8" t="s">
        <v>1323</v>
      </c>
      <c r="AQ21" s="158" t="s">
        <v>1323</v>
      </c>
      <c r="AR21" s="158" t="s">
        <v>1323</v>
      </c>
      <c r="AS21" s="158"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8" t="s">
        <v>1373</v>
      </c>
      <c r="AQ22" s="158" t="s">
        <v>1373</v>
      </c>
      <c r="AR22" s="158" t="s">
        <v>1373</v>
      </c>
      <c r="AS22" s="158"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8"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8" t="s">
        <v>1394</v>
      </c>
      <c r="AB23" s="158"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8" t="s">
        <v>1400</v>
      </c>
      <c r="AQ23" s="158" t="s">
        <v>1400</v>
      </c>
      <c r="AR23" s="158" t="s">
        <v>1400</v>
      </c>
      <c r="AS23" s="158"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59"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8" t="s">
        <v>1411</v>
      </c>
      <c r="CH23" s="158" t="s">
        <v>1411</v>
      </c>
      <c r="CI23" s="158" t="s">
        <v>1411</v>
      </c>
      <c r="CJ23" s="158"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8" t="s">
        <v>1394</v>
      </c>
      <c r="AD24" s="158" t="s">
        <v>1394</v>
      </c>
      <c r="AE24" s="91"/>
      <c r="AF24" s="91" t="s">
        <v>1418</v>
      </c>
      <c r="AG24" s="91" t="s">
        <v>1418</v>
      </c>
      <c r="AH24" s="91" t="s">
        <v>1418</v>
      </c>
      <c r="AI24" s="91" t="s">
        <v>1419</v>
      </c>
      <c r="AJ24" s="91"/>
      <c r="AK24" s="91" t="s">
        <v>1420</v>
      </c>
      <c r="AL24" s="91" t="s">
        <v>1420</v>
      </c>
      <c r="AM24" s="91" t="s">
        <v>1420</v>
      </c>
      <c r="AN24" s="91" t="s">
        <v>1421</v>
      </c>
      <c r="AO24" s="91"/>
      <c r="AP24" s="158" t="s">
        <v>1422</v>
      </c>
      <c r="AQ24" s="158" t="s">
        <v>1422</v>
      </c>
      <c r="AR24" s="158" t="s">
        <v>1422</v>
      </c>
      <c r="AS24" s="158"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8"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1"/>
      <c r="AJ25" s="91"/>
      <c r="AK25" s="91" t="s">
        <v>1420</v>
      </c>
      <c r="AL25" s="91" t="s">
        <v>1420</v>
      </c>
      <c r="AM25" s="91" t="s">
        <v>1420</v>
      </c>
      <c r="AN25" s="159" t="s">
        <v>1152</v>
      </c>
      <c r="AO25" s="91"/>
      <c r="AP25" s="158" t="s">
        <v>1442</v>
      </c>
      <c r="AQ25" s="158" t="s">
        <v>1442</v>
      </c>
      <c r="AR25" s="158"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1"/>
      <c r="AJ26" s="91"/>
      <c r="AK26" s="158" t="s">
        <v>1462</v>
      </c>
      <c r="AL26" s="158" t="s">
        <v>1462</v>
      </c>
      <c r="AM26" s="158" t="s">
        <v>1462</v>
      </c>
      <c r="AN26" s="91" t="s">
        <v>1463</v>
      </c>
      <c r="AO26" s="91"/>
      <c r="AP26" s="158" t="s">
        <v>1464</v>
      </c>
      <c r="AQ26" s="158" t="s">
        <v>1464</v>
      </c>
      <c r="AR26" s="158" t="s">
        <v>1464</v>
      </c>
      <c r="AS26" s="91" t="s">
        <v>1465</v>
      </c>
      <c r="AT26" s="91"/>
      <c r="AU26" s="91"/>
      <c r="AV26" s="91"/>
      <c r="AW26" s="91"/>
      <c r="AX26" s="91"/>
      <c r="AY26" s="91"/>
      <c r="AZ26" s="91"/>
      <c r="BA26" s="91"/>
      <c r="BB26" s="91"/>
      <c r="BC26" s="91"/>
      <c r="BD26" s="91"/>
      <c r="BE26" s="158" t="s">
        <v>1142</v>
      </c>
      <c r="BF26" s="158" t="s">
        <v>1142</v>
      </c>
      <c r="BG26" s="158"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8" t="s">
        <v>1483</v>
      </c>
      <c r="AQ27" s="158" t="s">
        <v>1483</v>
      </c>
      <c r="AR27" s="158"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8" t="s">
        <v>1490</v>
      </c>
      <c r="BZ27" s="91"/>
      <c r="CA27" s="91" t="s">
        <v>1250</v>
      </c>
      <c r="CB27" s="91"/>
      <c r="CC27" s="159"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8"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8" t="s">
        <v>1507</v>
      </c>
      <c r="BJ28" s="91"/>
      <c r="BK28" s="158"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8" t="s">
        <v>1515</v>
      </c>
      <c r="C29" s="158" t="s">
        <v>1515</v>
      </c>
      <c r="D29" s="158" t="s">
        <v>1515</v>
      </c>
      <c r="E29" s="158" t="s">
        <v>1515</v>
      </c>
      <c r="F29" s="158"/>
      <c r="G29" s="158" t="s">
        <v>1515</v>
      </c>
      <c r="H29" s="158" t="s">
        <v>1515</v>
      </c>
      <c r="I29" s="158" t="s">
        <v>1515</v>
      </c>
      <c r="J29" s="158"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8" t="s">
        <v>1523</v>
      </c>
      <c r="AL29" s="158" t="s">
        <v>1523</v>
      </c>
      <c r="AM29" s="158"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8"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8"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59"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59" t="s">
        <v>1515</v>
      </c>
      <c r="M32" s="159" t="s">
        <v>1515</v>
      </c>
      <c r="N32" s="159" t="s">
        <v>1515</v>
      </c>
      <c r="O32" s="159" t="s">
        <v>1515</v>
      </c>
      <c r="P32" s="159"/>
      <c r="Q32" s="159" t="s">
        <v>1515</v>
      </c>
      <c r="R32" s="159" t="s">
        <v>1515</v>
      </c>
      <c r="S32" s="159" t="s">
        <v>1515</v>
      </c>
      <c r="T32" s="159" t="s">
        <v>1515</v>
      </c>
      <c r="U32" s="91"/>
      <c r="V32" s="91" t="s">
        <v>1577</v>
      </c>
      <c r="W32" s="91" t="s">
        <v>1577</v>
      </c>
      <c r="X32" s="91" t="s">
        <v>1578</v>
      </c>
      <c r="Y32" s="91" t="s">
        <v>1578</v>
      </c>
      <c r="Z32" s="91"/>
      <c r="AA32" s="91" t="s">
        <v>1579</v>
      </c>
      <c r="AB32" s="91" t="s">
        <v>1579</v>
      </c>
      <c r="AC32" s="91" t="s">
        <v>1580</v>
      </c>
      <c r="AD32" s="91" t="s">
        <v>1580</v>
      </c>
      <c r="AE32" s="91"/>
      <c r="AF32" s="158" t="s">
        <v>1581</v>
      </c>
      <c r="AG32" s="158" t="s">
        <v>1581</v>
      </c>
      <c r="AH32" s="158" t="s">
        <v>1581</v>
      </c>
      <c r="AI32" s="158" t="s">
        <v>1581</v>
      </c>
      <c r="AJ32" s="91"/>
      <c r="AK32" s="91" t="s">
        <v>1582</v>
      </c>
      <c r="AL32" s="91" t="s">
        <v>1582</v>
      </c>
      <c r="AM32" s="91" t="s">
        <v>1582</v>
      </c>
      <c r="AN32" s="91"/>
      <c r="AO32" s="91"/>
      <c r="AP32" s="158" t="s">
        <v>1583</v>
      </c>
      <c r="AQ32" s="158" t="s">
        <v>1583</v>
      </c>
      <c r="AR32" s="158"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59" t="s">
        <v>1588</v>
      </c>
      <c r="BX32" s="91"/>
      <c r="BY32" s="158"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8" t="s">
        <v>1589</v>
      </c>
      <c r="BF33" s="158" t="s">
        <v>1589</v>
      </c>
      <c r="BG33" s="158" t="s">
        <v>1589</v>
      </c>
      <c r="BH33" s="91"/>
      <c r="BI33" s="91" t="s">
        <v>1603</v>
      </c>
      <c r="BJ33" s="91"/>
      <c r="BK33" s="91"/>
      <c r="BL33" s="91"/>
      <c r="BM33" s="91" t="s">
        <v>1604</v>
      </c>
      <c r="BN33" s="91"/>
      <c r="BO33" s="91"/>
      <c r="BP33" s="91"/>
      <c r="BQ33" s="91"/>
      <c r="BR33" s="91"/>
      <c r="BS33" s="91"/>
      <c r="BT33" s="91"/>
      <c r="BU33" s="91"/>
      <c r="BV33" s="91"/>
      <c r="BW33" s="157" t="s">
        <v>1605</v>
      </c>
      <c r="BX33" s="91"/>
      <c r="BY33" s="157" t="s">
        <v>1606</v>
      </c>
      <c r="BZ33" s="91"/>
      <c r="CA33" s="158" t="s">
        <v>1607</v>
      </c>
      <c r="CB33" s="91"/>
      <c r="CC33" s="158"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8" t="s">
        <v>1611</v>
      </c>
      <c r="W34" s="158"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7" t="s">
        <v>1622</v>
      </c>
      <c r="BX34" s="91"/>
      <c r="BY34" s="157" t="s">
        <v>1623</v>
      </c>
      <c r="BZ34" s="91"/>
      <c r="CA34" s="157" t="s">
        <v>1624</v>
      </c>
      <c r="CB34" s="91"/>
      <c r="CC34" s="157"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7" t="s">
        <v>1638</v>
      </c>
      <c r="BX35" s="91"/>
      <c r="BY35" s="157" t="s">
        <v>1639</v>
      </c>
      <c r="BZ35" s="91"/>
      <c r="CA35" s="157" t="s">
        <v>1640</v>
      </c>
      <c r="CB35" s="91"/>
      <c r="CC35" s="157"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8" t="s">
        <v>1651</v>
      </c>
      <c r="AL36" s="158" t="s">
        <v>1651</v>
      </c>
      <c r="AM36" s="158"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7" t="s">
        <v>1655</v>
      </c>
      <c r="BX36" s="91"/>
      <c r="BY36" s="157" t="s">
        <v>1656</v>
      </c>
      <c r="BZ36" s="91"/>
      <c r="CA36" s="157" t="s">
        <v>1657</v>
      </c>
      <c r="CB36" s="91"/>
      <c r="CC36" s="157"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7" t="s">
        <v>1669</v>
      </c>
      <c r="BX37" s="91"/>
      <c r="BY37" s="157" t="s">
        <v>1670</v>
      </c>
      <c r="BZ37" s="91"/>
      <c r="CA37" s="157" t="s">
        <v>1671</v>
      </c>
      <c r="CB37" s="91"/>
      <c r="CC37" s="157"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8" t="s">
        <v>1546</v>
      </c>
      <c r="AQ38" s="158" t="s">
        <v>1546</v>
      </c>
      <c r="AR38" s="158"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7" t="s">
        <v>1680</v>
      </c>
      <c r="BX38" s="91"/>
      <c r="BY38" s="91"/>
      <c r="BZ38" s="91"/>
      <c r="CA38" s="157" t="s">
        <v>1681</v>
      </c>
      <c r="CB38" s="91"/>
      <c r="CC38" s="157"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59" t="s">
        <v>1685</v>
      </c>
      <c r="M39" s="159" t="s">
        <v>1685</v>
      </c>
      <c r="N39" s="159" t="s">
        <v>1685</v>
      </c>
      <c r="O39" s="159" t="s">
        <v>1685</v>
      </c>
      <c r="P39" s="159"/>
      <c r="Q39" s="159" t="s">
        <v>1686</v>
      </c>
      <c r="R39" s="159" t="s">
        <v>1686</v>
      </c>
      <c r="S39" s="159" t="s">
        <v>1686</v>
      </c>
      <c r="T39" s="159"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8" t="s">
        <v>1695</v>
      </c>
      <c r="BJ39" s="91"/>
      <c r="BK39" s="91"/>
      <c r="BL39" s="91"/>
      <c r="BM39" s="91"/>
      <c r="BN39" s="91"/>
      <c r="BO39" s="91"/>
      <c r="BP39" s="91"/>
      <c r="BQ39" s="91"/>
      <c r="BR39" s="91"/>
      <c r="BS39" s="91"/>
      <c r="BT39" s="91"/>
      <c r="BU39" s="91"/>
      <c r="BV39" s="91"/>
      <c r="BW39" s="157" t="s">
        <v>1696</v>
      </c>
      <c r="BX39" s="91"/>
      <c r="BY39" s="91"/>
      <c r="BZ39" s="91"/>
      <c r="CA39" s="157" t="s">
        <v>1697</v>
      </c>
      <c r="CB39" s="91"/>
      <c r="CC39" s="157"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8" t="s">
        <v>1705</v>
      </c>
      <c r="AB40" s="158" t="s">
        <v>1705</v>
      </c>
      <c r="AC40" s="91" t="s">
        <v>1706</v>
      </c>
      <c r="AD40" s="91" t="s">
        <v>1706</v>
      </c>
      <c r="AE40" s="91"/>
      <c r="AF40" s="91" t="s">
        <v>1707</v>
      </c>
      <c r="AG40" s="91" t="s">
        <v>1707</v>
      </c>
      <c r="AH40" s="91" t="s">
        <v>1707</v>
      </c>
      <c r="AI40" s="91" t="s">
        <v>1708</v>
      </c>
      <c r="AJ40" s="91"/>
      <c r="AK40" s="158" t="s">
        <v>1709</v>
      </c>
      <c r="AL40" s="158" t="s">
        <v>1709</v>
      </c>
      <c r="AM40" s="158"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7" t="s">
        <v>1712</v>
      </c>
      <c r="BX40" s="91"/>
      <c r="BY40" s="91"/>
      <c r="BZ40" s="91"/>
      <c r="CA40" s="157" t="s">
        <v>1713</v>
      </c>
      <c r="CB40" s="91"/>
      <c r="CC40" s="157"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7" t="s">
        <v>1728</v>
      </c>
      <c r="BX41" s="91"/>
      <c r="BY41" s="91"/>
      <c r="BZ41" s="91"/>
      <c r="CA41" s="157" t="s">
        <v>1729</v>
      </c>
      <c r="CB41" s="91"/>
      <c r="CC41" s="159"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7" t="s">
        <v>1743</v>
      </c>
      <c r="BX42" s="91"/>
      <c r="BY42" s="91"/>
      <c r="BZ42" s="91"/>
      <c r="CA42" s="91"/>
      <c r="CB42" s="91"/>
      <c r="CC42" s="157"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7" t="s">
        <v>1758</v>
      </c>
      <c r="BX43" s="91"/>
      <c r="BY43" s="91"/>
      <c r="BZ43" s="91"/>
      <c r="CA43" s="91"/>
      <c r="CB43" s="91"/>
      <c r="CC43" s="157"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8" t="s">
        <v>1611</v>
      </c>
      <c r="Y44" s="158" t="s">
        <v>1611</v>
      </c>
      <c r="Z44" s="91"/>
      <c r="AA44" s="91" t="s">
        <v>1765</v>
      </c>
      <c r="AB44" s="91" t="s">
        <v>1765</v>
      </c>
      <c r="AC44" s="158" t="s">
        <v>1705</v>
      </c>
      <c r="AD44" s="158"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7" t="s">
        <v>1771</v>
      </c>
      <c r="BX44" s="91"/>
      <c r="BY44" s="91"/>
      <c r="BZ44" s="91"/>
      <c r="CA44" s="91"/>
      <c r="CB44" s="91"/>
      <c r="CC44" s="157"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8" t="s">
        <v>1782</v>
      </c>
      <c r="BJ45" s="91"/>
      <c r="BK45" s="91"/>
      <c r="BL45" s="91"/>
      <c r="BM45" s="91"/>
      <c r="BN45" s="91"/>
      <c r="BO45" s="91"/>
      <c r="BP45" s="91"/>
      <c r="BQ45" s="91"/>
      <c r="BR45" s="91"/>
      <c r="BS45" s="91"/>
      <c r="BT45" s="91"/>
      <c r="BU45" s="91"/>
      <c r="BV45" s="91"/>
      <c r="BW45" s="159" t="s">
        <v>1783</v>
      </c>
      <c r="BX45" s="91"/>
      <c r="BY45" s="91"/>
      <c r="BZ45" s="91"/>
      <c r="CA45" s="91"/>
      <c r="CB45" s="91"/>
      <c r="CC45" s="157" t="s">
        <v>1784</v>
      </c>
      <c r="CD45" s="91"/>
      <c r="CE45" s="91"/>
      <c r="CF45" s="91"/>
      <c r="CG45" s="91"/>
      <c r="CH45" s="91"/>
      <c r="CI45" s="91"/>
      <c r="CJ45" s="91"/>
      <c r="CK45" s="91"/>
      <c r="CL45" s="91"/>
    </row>
    <row r="46" ht="15.75" customHeight="1">
      <c r="A46" s="91"/>
      <c r="B46" s="159" t="s">
        <v>1685</v>
      </c>
      <c r="C46" s="159" t="s">
        <v>1685</v>
      </c>
      <c r="D46" s="91" t="s">
        <v>1760</v>
      </c>
      <c r="E46" s="91" t="s">
        <v>1760</v>
      </c>
      <c r="F46" s="91"/>
      <c r="G46" s="159" t="s">
        <v>1685</v>
      </c>
      <c r="H46" s="159"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7" t="s">
        <v>1793</v>
      </c>
      <c r="BX46" s="91"/>
      <c r="BY46" s="91"/>
      <c r="BZ46" s="91"/>
      <c r="CA46" s="91"/>
      <c r="CB46" s="91"/>
      <c r="CC46" s="157"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8" t="s">
        <v>1802</v>
      </c>
      <c r="AL47" s="158" t="s">
        <v>1802</v>
      </c>
      <c r="AM47" s="158"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7" t="s">
        <v>1804</v>
      </c>
      <c r="BX47" s="91"/>
      <c r="BY47" s="91"/>
      <c r="BZ47" s="91"/>
      <c r="CA47" s="91"/>
      <c r="CB47" s="91"/>
      <c r="CC47" s="157" t="s">
        <v>1805</v>
      </c>
      <c r="CD47" s="91"/>
      <c r="CE47" s="91"/>
      <c r="CF47" s="91"/>
      <c r="CG47" s="91"/>
      <c r="CH47" s="91"/>
      <c r="CI47" s="91"/>
      <c r="CJ47" s="91"/>
      <c r="CK47" s="91"/>
      <c r="CL47" s="91"/>
    </row>
    <row r="48" ht="15.75" customHeight="1">
      <c r="A48" s="91"/>
      <c r="B48" s="91" t="s">
        <v>1806</v>
      </c>
      <c r="C48" s="91" t="s">
        <v>1806</v>
      </c>
      <c r="D48" s="158" t="s">
        <v>1685</v>
      </c>
      <c r="E48" s="158" t="s">
        <v>1685</v>
      </c>
      <c r="F48" s="91"/>
      <c r="G48" s="91" t="s">
        <v>1806</v>
      </c>
      <c r="H48" s="91" t="s">
        <v>1806</v>
      </c>
      <c r="I48" s="158" t="s">
        <v>1685</v>
      </c>
      <c r="J48" s="158"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8" t="s">
        <v>1811</v>
      </c>
      <c r="AG48" s="158" t="s">
        <v>1811</v>
      </c>
      <c r="AH48" s="158"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8" t="s">
        <v>1814</v>
      </c>
      <c r="BJ48" s="91"/>
      <c r="BK48" s="91"/>
      <c r="BL48" s="91"/>
      <c r="BM48" s="91"/>
      <c r="BN48" s="91"/>
      <c r="BO48" s="91"/>
      <c r="BP48" s="91"/>
      <c r="BQ48" s="91"/>
      <c r="BR48" s="91"/>
      <c r="BS48" s="91"/>
      <c r="BT48" s="91"/>
      <c r="BU48" s="91"/>
      <c r="BV48" s="91"/>
      <c r="BW48" s="157" t="s">
        <v>1815</v>
      </c>
      <c r="BX48" s="91"/>
      <c r="BY48" s="91"/>
      <c r="BZ48" s="91"/>
      <c r="CA48" s="91"/>
      <c r="CB48" s="91"/>
      <c r="CC48" s="157"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8"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7"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8" t="s">
        <v>1830</v>
      </c>
      <c r="AB50" s="158"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7"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8" t="s">
        <v>1830</v>
      </c>
      <c r="AD51" s="158"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7"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8" t="s">
        <v>1855</v>
      </c>
      <c r="BJ52" s="91"/>
      <c r="BK52" s="91"/>
      <c r="BL52" s="91"/>
      <c r="BM52" s="91"/>
      <c r="BN52" s="91"/>
      <c r="BO52" s="91"/>
      <c r="BP52" s="91"/>
      <c r="BQ52" s="91"/>
      <c r="BR52" s="91"/>
      <c r="BS52" s="91"/>
      <c r="BT52" s="91"/>
      <c r="BU52" s="91"/>
      <c r="BV52" s="91"/>
      <c r="BW52" s="157"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7"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7"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7"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8" t="s">
        <v>1822</v>
      </c>
      <c r="AG61" s="158" t="s">
        <v>1822</v>
      </c>
      <c r="AH61" s="158"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8"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8" t="s">
        <v>2014</v>
      </c>
      <c r="W85" s="158" t="s">
        <v>2014</v>
      </c>
      <c r="X85" s="91" t="s">
        <v>2015</v>
      </c>
      <c r="Y85" s="91" t="s">
        <v>2015</v>
      </c>
      <c r="Z85" s="91"/>
      <c r="AA85" s="91"/>
      <c r="AB85" s="91"/>
      <c r="AC85" s="91"/>
      <c r="AD85" s="91"/>
      <c r="AE85" s="91"/>
      <c r="AF85" s="158" t="s">
        <v>1956</v>
      </c>
      <c r="AG85" s="158" t="s">
        <v>1956</v>
      </c>
      <c r="AH85" s="158"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8" t="s">
        <v>2078</v>
      </c>
      <c r="AG107" s="158" t="s">
        <v>2078</v>
      </c>
      <c r="AH107" s="158"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8" t="s">
        <v>2080</v>
      </c>
      <c r="Y108" s="158"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2"/>
      <c r="C1" s="163" t="str">
        <f>IFERROR(__xludf.DUMMYFUNCTION("filter('SABERS OCULT'!B3:CJ140,'SABERS OCULT'!B3:CJ3=SABERS!B4,'SABERS OCULT'!B4:CJ4=INICI!C5)"),"Llengua estrangera")</f>
        <v>Llengua estrangera</v>
      </c>
      <c r="D1" s="163" t="str">
        <f>IFERROR(__xludf.DUMMYFUNCTION("filter('SABERS OCULT'!B3:CJ140,'SABERS OCULT'!B3:CJ3=SABERS!B5,'SABERS OCULT'!B4:CJ4=INICI!C5)"),"Llengua estrangera")</f>
        <v>Llengua estrangera</v>
      </c>
      <c r="E1" s="163" t="str">
        <f>IFERROR(__xludf.DUMMYFUNCTION("filter('SABERS OCULT'!B3:CJ140,'SABERS OCULT'!B3:CJ3=SABERS!B6,'SABERS OCULT'!B4:CJ4=INICI!C5)"),"Llengua estrangera")</f>
        <v>Llengua estrangera</v>
      </c>
      <c r="F1" s="163" t="str">
        <f>IFERROR(__xludf.DUMMYFUNCTION("filter('SABERS OCULT'!B3:CJ140,'SABERS OCULT'!B3:CJ3=SABERS!B7,'SABERS OCULT'!B4:CJ4=INICI!C5)"),"Llengua estrangera")</f>
        <v>Llengua estrangera</v>
      </c>
      <c r="G1" s="163" t="str">
        <f>IFERROR(__xludf.DUMMYFUNCTION("filter('SABERS OCULT'!B3:CJ140,'SABERS OCULT'!B3:CJ3=SABERS!B8,'SABERS OCULT'!B4:CJ4=INICI!C5)"),"Llengua estrangera")</f>
        <v>Llengua estrangera</v>
      </c>
      <c r="H1" s="163" t="str">
        <f>IFERROR(__xludf.DUMMYFUNCTION("filter('SABERS OCULT'!B3:CJ140,'SABERS OCULT'!B3:CJ3=SABERS!B9,'SABERS OCULT'!B4:CJ4=INICI!C5)"),"#N/A")</f>
        <v>#N/A</v>
      </c>
      <c r="I1" s="163" t="str">
        <f>IFERROR(__xludf.DUMMYFUNCTION("filter('SABERS OCULT'!B3:CJ140,'SABERS OCULT'!B3:CJ3=SABERS!B10,'SABERS OCULT'!B4:CJ4=INICI!C5)"),"#N/A")</f>
        <v>#N/A</v>
      </c>
      <c r="J1" s="163" t="str">
        <f>IFERROR(__xludf.DUMMYFUNCTION("filter('SABERS OCULT'!B3:CJ140,'SABERS OCULT'!B3:CJ3=SABERS!B11,'SABERS OCULT'!B4:CJ4=INICI!C5)"),"#N/A")</f>
        <v>#N/A</v>
      </c>
      <c r="K1" s="163" t="str">
        <f>IFERROR(__xludf.DUMMYFUNCTION("filter('SABERS OCULT'!B3:CJ140,'SABERS OCULT'!B3:CJ3=SABERS!B12,'SABERS OCULT'!B4:CJ4=INICI!C5)"),"#N/A")</f>
        <v>#N/A</v>
      </c>
      <c r="L1" s="163" t="str">
        <f>IFERROR(__xludf.DUMMYFUNCTION("filter('SABERS OCULT'!B3:CJ140,'SABERS OCULT'!B3:CJ3=SABERS!B13,'SABERS OCULT'!B4:CJ4=INICI!C5)"),"#N/A")</f>
        <v>#N/A</v>
      </c>
      <c r="M1" s="163" t="str">
        <f>IFERROR(__xludf.DUMMYFUNCTION("filter('SABERS OCULT'!B3:CJ140,'SABERS OCULT'!B3:CJ3=SABERS!B14,'SABERS OCULT'!B4:CJ4=INICI!C5)"),"#N/A")</f>
        <v>#N/A</v>
      </c>
      <c r="N1" s="163" t="str">
        <f>IFERROR(__xludf.DUMMYFUNCTION("filter('SABERS OCULT'!B3:CJ140,'SABERS OCULT'!B3:CJ3=SABERS!B15,'SABERS OCULT'!B4:CJ4=INICI!C5)"),"#N/A")</f>
        <v>#N/A</v>
      </c>
      <c r="O1" s="163" t="str">
        <f>IFERROR(__xludf.DUMMYFUNCTION("filter('SABERS OCULT'!B3:CJ140,'SABERS OCULT'!B3:CJ3=SABERS!B16,'SABERS OCULT'!B4:CJ4=INICI!C5)"),"#N/A")</f>
        <v>#N/A</v>
      </c>
      <c r="P1" s="163" t="str">
        <f>IFERROR(__xludf.DUMMYFUNCTION("filter('SABERS OCULT'!B3:CJ140,'SABERS OCULT'!B3:CJ3=SABERS!B17,'SABERS OCULT'!B4:CJ4=INICI!C5)"),"#N/A")</f>
        <v>#N/A</v>
      </c>
      <c r="Q1" s="163" t="str">
        <f>IFERROR(__xludf.DUMMYFUNCTION("filter('SABERS OCULT'!B3:CJ140,'SABERS OCULT'!B3:CJ3=SABERS!B18,'SABERS OCULT'!B4:CJ4=INICI!C5)"),"#N/A")</f>
        <v>#N/A</v>
      </c>
      <c r="R1" s="163" t="str">
        <f>IFERROR(__xludf.DUMMYFUNCTION("filter('SABERS OCULT'!B3:CJ140,'SABERS OCULT'!B3:CJ3=SABERS!B19,'SABERS OCULT'!B4:CJ4=INICI!C5)"),"#N/A")</f>
        <v>#N/A</v>
      </c>
      <c r="S1" s="163" t="str">
        <f>IFERROR(__xludf.DUMMYFUNCTION("filter('SABERS OCULT'!B3:CJ140,'SABERS OCULT'!B3:CJ3=SABERS!B20,'SABERS OCULT'!B4:CJ4=INICI!C5)"),"#N/A")</f>
        <v>#N/A</v>
      </c>
      <c r="T1" s="164"/>
      <c r="U1" s="164"/>
      <c r="V1" s="43"/>
      <c r="W1" s="43"/>
      <c r="X1" s="43"/>
      <c r="Y1" s="43"/>
      <c r="Z1" s="43"/>
      <c r="AA1" s="43"/>
      <c r="AB1" s="43"/>
    </row>
    <row r="2">
      <c r="A2" s="43"/>
      <c r="B2" s="165" t="s">
        <v>2124</v>
      </c>
      <c r="C2" s="118" t="str">
        <f>IFERROR(__xludf.DUMMYFUNCTION("""COMPUTED_VALUE"""),"4t ESO")</f>
        <v>4t ESO</v>
      </c>
      <c r="D2" s="118" t="str">
        <f>IFERROR(__xludf.DUMMYFUNCTION("""COMPUTED_VALUE"""),"4t ESO")</f>
        <v>4t ESO</v>
      </c>
      <c r="E2" s="118" t="str">
        <f>IFERROR(__xludf.DUMMYFUNCTION("""COMPUTED_VALUE"""),"4t ESO")</f>
        <v>4t ESO</v>
      </c>
      <c r="F2" s="118" t="str">
        <f>IFERROR(__xludf.DUMMYFUNCTION("""COMPUTED_VALUE"""),"4t ESO")</f>
        <v>4t ESO</v>
      </c>
      <c r="G2" s="118" t="str">
        <f>IFERROR(__xludf.DUMMYFUNCTION("""COMPUTED_VALUE"""),"4t ESO")</f>
        <v>4t ESO</v>
      </c>
      <c r="H2" s="118"/>
      <c r="I2" s="118"/>
      <c r="J2" s="118"/>
      <c r="K2" s="118"/>
      <c r="L2" s="118"/>
      <c r="M2" s="118"/>
      <c r="N2" s="118"/>
      <c r="O2" s="118"/>
      <c r="P2" s="118"/>
      <c r="Q2" s="118"/>
      <c r="R2" s="118"/>
      <c r="S2" s="118"/>
      <c r="T2" s="164"/>
      <c r="U2" s="164"/>
      <c r="V2" s="43"/>
      <c r="W2" s="43"/>
      <c r="X2" s="43"/>
      <c r="Y2" s="43"/>
      <c r="Z2" s="43"/>
      <c r="AA2" s="43"/>
      <c r="AB2" s="43"/>
    </row>
    <row r="3">
      <c r="A3" s="43"/>
      <c r="B3" s="166" t="s">
        <v>2125</v>
      </c>
      <c r="C3" s="118" t="str">
        <f>IFERROR(__xludf.DUMMYFUNCTION("""COMPUTED_VALUE"""),"LA LLENGUA I ELS SEUS PARLANTS")</f>
        <v>LA LLENGUA I ELS SEUS PARLANTS</v>
      </c>
      <c r="D3" s="118" t="str">
        <f>IFERROR(__xludf.DUMMYFUNCTION("""COMPUTED_VALUE"""),"LA LLENGUA I ELS SEUS PARLANTS")</f>
        <v>LA LLENGUA I ELS SEUS PARLANTS</v>
      </c>
      <c r="E3" s="118" t="str">
        <f>IFERROR(__xludf.DUMMYFUNCTION("""COMPUTED_VALUE"""),"LA LLENGUA I ELS SEUS PARLANTS")</f>
        <v>LA LLENGUA I ELS SEUS PARLANTS</v>
      </c>
      <c r="F3" s="118" t="str">
        <f>IFERROR(__xludf.DUMMYFUNCTION("""COMPUTED_VALUE"""),"LA LLENGUA I ELS SEUS PARLANTS")</f>
        <v>LA LLENGUA I ELS SEUS PARLANTS</v>
      </c>
      <c r="G3" s="118" t="str">
        <f>IFERROR(__xludf.DUMMYFUNCTION("""COMPUTED_VALUE"""),"LA LLENGUA I ELS SEUS PARLANTS")</f>
        <v>LA LLENGUA I ELS SEUS PARLANTS</v>
      </c>
      <c r="H3" s="118"/>
      <c r="I3" s="118"/>
      <c r="J3" s="118"/>
      <c r="K3" s="118"/>
      <c r="L3" s="118"/>
      <c r="M3" s="118"/>
      <c r="N3" s="118"/>
      <c r="O3" s="118"/>
      <c r="P3" s="118"/>
      <c r="Q3" s="118"/>
      <c r="R3" s="118"/>
      <c r="S3" s="118"/>
      <c r="T3" s="164"/>
      <c r="U3" s="164"/>
      <c r="V3" s="43"/>
      <c r="W3" s="43"/>
      <c r="X3" s="43"/>
      <c r="Y3" s="43"/>
      <c r="Z3" s="43"/>
      <c r="AA3" s="43"/>
      <c r="AB3" s="43"/>
    </row>
    <row r="4">
      <c r="A4" s="43"/>
      <c r="B4" s="167" t="s">
        <v>2126</v>
      </c>
      <c r="C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G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H4" s="118"/>
      <c r="I4" s="118"/>
      <c r="J4" s="118"/>
      <c r="K4" s="118"/>
      <c r="L4" s="118"/>
      <c r="M4" s="118"/>
      <c r="N4" s="118"/>
      <c r="O4" s="118"/>
      <c r="P4" s="118"/>
      <c r="Q4" s="118"/>
      <c r="R4" s="118"/>
      <c r="S4" s="118"/>
      <c r="T4" s="164"/>
      <c r="U4" s="164"/>
      <c r="V4" s="43"/>
      <c r="W4" s="43"/>
      <c r="X4" s="43"/>
      <c r="Y4" s="43"/>
      <c r="Z4" s="43"/>
      <c r="AA4" s="43"/>
      <c r="AB4" s="43"/>
    </row>
    <row r="5">
      <c r="A5" s="43"/>
      <c r="C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G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H5" s="118"/>
      <c r="I5" s="118"/>
      <c r="J5" s="118"/>
      <c r="K5" s="118"/>
      <c r="L5" s="118"/>
      <c r="M5" s="118"/>
      <c r="N5" s="118"/>
      <c r="O5" s="118"/>
      <c r="P5" s="118"/>
      <c r="Q5" s="118"/>
      <c r="R5" s="118"/>
      <c r="S5" s="118"/>
      <c r="T5" s="164"/>
      <c r="U5" s="164"/>
      <c r="V5" s="43"/>
      <c r="W5" s="43"/>
      <c r="X5" s="43"/>
      <c r="Y5" s="43"/>
      <c r="Z5" s="43"/>
      <c r="AA5" s="43"/>
      <c r="AB5" s="43"/>
    </row>
    <row r="6">
      <c r="A6" s="43"/>
      <c r="B6" s="118"/>
      <c r="C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G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H6" s="118"/>
      <c r="I6" s="118"/>
      <c r="J6" s="118"/>
      <c r="K6" s="118"/>
      <c r="L6" s="118"/>
      <c r="M6" s="118"/>
      <c r="N6" s="118"/>
      <c r="O6" s="118"/>
      <c r="P6" s="118"/>
      <c r="Q6" s="118"/>
      <c r="R6" s="118"/>
      <c r="S6" s="118"/>
      <c r="T6" s="164"/>
      <c r="U6" s="164"/>
      <c r="V6" s="43"/>
      <c r="W6" s="43"/>
      <c r="X6" s="43"/>
      <c r="Y6" s="43"/>
      <c r="Z6" s="43"/>
      <c r="AA6" s="43"/>
      <c r="AB6" s="43"/>
    </row>
    <row r="7">
      <c r="A7" s="43"/>
      <c r="B7" s="165"/>
      <c r="C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G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H7" s="118"/>
      <c r="I7" s="118"/>
      <c r="J7" s="118"/>
      <c r="K7" s="118"/>
      <c r="L7" s="118"/>
      <c r="M7" s="118"/>
      <c r="N7" s="118"/>
      <c r="O7" s="118"/>
      <c r="P7" s="118"/>
      <c r="Q7" s="118"/>
      <c r="R7" s="118"/>
      <c r="S7" s="118"/>
      <c r="T7" s="164"/>
      <c r="U7" s="164"/>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4"/>
      <c r="U8" s="164"/>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4"/>
      <c r="U9" s="164"/>
      <c r="V9" s="43"/>
      <c r="W9" s="43"/>
      <c r="X9" s="43"/>
      <c r="Y9" s="43"/>
      <c r="Z9" s="43"/>
      <c r="AA9" s="43"/>
      <c r="AB9" s="43"/>
    </row>
    <row r="10">
      <c r="A10" s="43"/>
      <c r="B10" s="166" t="s">
        <v>2127</v>
      </c>
      <c r="C10" s="118" t="str">
        <f>IFERROR(__xludf.DUMMYFUNCTION("""COMPUTED_VALUE"""),"COMUNICACIÓ")</f>
        <v>COMUNICACIÓ</v>
      </c>
      <c r="D10" s="118" t="str">
        <f>IFERROR(__xludf.DUMMYFUNCTION("""COMPUTED_VALUE"""),"COMUNICACIÓ")</f>
        <v>COMUNICACIÓ</v>
      </c>
      <c r="E10" s="118" t="str">
        <f>IFERROR(__xludf.DUMMYFUNCTION("""COMPUTED_VALUE"""),"COMUNICACIÓ")</f>
        <v>COMUNICACIÓ</v>
      </c>
      <c r="F10" s="118" t="str">
        <f>IFERROR(__xludf.DUMMYFUNCTION("""COMPUTED_VALUE"""),"COMUNICACIÓ")</f>
        <v>COMUNICACIÓ</v>
      </c>
      <c r="G10" s="118" t="str">
        <f>IFERROR(__xludf.DUMMYFUNCTION("""COMPUTED_VALUE"""),"COMUNICACIÓ")</f>
        <v>COMUNICACIÓ</v>
      </c>
      <c r="H10" s="118"/>
      <c r="I10" s="118"/>
      <c r="J10" s="118"/>
      <c r="K10" s="118"/>
      <c r="L10" s="118"/>
      <c r="M10" s="118"/>
      <c r="N10" s="118"/>
      <c r="O10" s="118"/>
      <c r="P10" s="118"/>
      <c r="Q10" s="118"/>
      <c r="R10" s="118"/>
      <c r="S10" s="118"/>
      <c r="T10" s="164"/>
      <c r="U10" s="164"/>
      <c r="V10" s="43"/>
      <c r="W10" s="43"/>
      <c r="X10" s="43"/>
      <c r="Y10" s="43"/>
      <c r="Z10" s="43"/>
      <c r="AA10" s="43"/>
      <c r="AB10" s="43"/>
    </row>
    <row r="11">
      <c r="A11" s="43"/>
      <c r="B11" s="166" t="s">
        <v>2128</v>
      </c>
      <c r="C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G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H11" s="118"/>
      <c r="I11" s="118"/>
      <c r="J11" s="118"/>
      <c r="K11" s="118"/>
      <c r="L11" s="118"/>
      <c r="M11" s="118"/>
      <c r="N11" s="118"/>
      <c r="O11" s="118"/>
      <c r="P11" s="118"/>
      <c r="Q11" s="118"/>
      <c r="R11" s="118"/>
      <c r="S11" s="118"/>
      <c r="T11" s="164"/>
      <c r="U11" s="164"/>
      <c r="V11" s="43"/>
      <c r="W11" s="43"/>
      <c r="X11" s="43"/>
      <c r="Y11" s="43"/>
      <c r="Z11" s="43"/>
      <c r="AA11" s="43"/>
      <c r="AB11" s="43"/>
    </row>
    <row r="12">
      <c r="A12" s="43"/>
      <c r="B12" s="166" t="s">
        <v>2129</v>
      </c>
      <c r="C12" s="118" t="str">
        <f>IFERROR(__xludf.DUMMYFUNCTION("""COMPUTED_VALUE"""),"●Context: ")</f>
        <v>●Context: </v>
      </c>
      <c r="D12" s="118" t="str">
        <f>IFERROR(__xludf.DUMMYFUNCTION("""COMPUTED_VALUE"""),"●Context: ")</f>
        <v>●Context: </v>
      </c>
      <c r="E12" s="118" t="str">
        <f>IFERROR(__xludf.DUMMYFUNCTION("""COMPUTED_VALUE"""),"●Context: ")</f>
        <v>●Context: </v>
      </c>
      <c r="F12" s="118" t="str">
        <f>IFERROR(__xludf.DUMMYFUNCTION("""COMPUTED_VALUE"""),"●Context: ")</f>
        <v>●Context: </v>
      </c>
      <c r="G12" s="118" t="str">
        <f>IFERROR(__xludf.DUMMYFUNCTION("""COMPUTED_VALUE"""),"●Context: ")</f>
        <v>●Context: </v>
      </c>
      <c r="H12" s="118"/>
      <c r="I12" s="118"/>
      <c r="J12" s="118"/>
      <c r="K12" s="118"/>
      <c r="L12" s="118"/>
      <c r="M12" s="118"/>
      <c r="N12" s="118"/>
      <c r="O12" s="118"/>
      <c r="P12" s="118"/>
      <c r="Q12" s="118"/>
      <c r="R12" s="118"/>
      <c r="S12" s="118"/>
      <c r="T12" s="164"/>
      <c r="U12" s="164"/>
      <c r="V12" s="43"/>
      <c r="W12" s="43"/>
      <c r="X12" s="43"/>
      <c r="Y12" s="43"/>
      <c r="Z12" s="43"/>
      <c r="AA12" s="43"/>
      <c r="AB12" s="43"/>
    </row>
    <row r="13">
      <c r="A13" s="43"/>
      <c r="B13" s="166" t="s">
        <v>2130</v>
      </c>
      <c r="C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G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H13" s="118"/>
      <c r="I13" s="118"/>
      <c r="J13" s="118"/>
      <c r="K13" s="118"/>
      <c r="L13" s="118"/>
      <c r="M13" s="118"/>
      <c r="N13" s="118"/>
      <c r="O13" s="118"/>
      <c r="P13" s="118"/>
      <c r="Q13" s="118"/>
      <c r="R13" s="118"/>
      <c r="S13" s="118"/>
      <c r="T13" s="164"/>
      <c r="U13" s="164"/>
      <c r="V13" s="43"/>
      <c r="W13" s="43"/>
      <c r="X13" s="43"/>
      <c r="Y13" s="43"/>
      <c r="Z13" s="43"/>
      <c r="AA13" s="43"/>
      <c r="AB13" s="43"/>
    </row>
    <row r="14">
      <c r="A14" s="43"/>
      <c r="B14" s="166" t="s">
        <v>2131</v>
      </c>
      <c r="C14" s="118" t="str">
        <f>IFERROR(__xludf.DUMMYFUNCTION("""COMPUTED_VALUE"""),"●Gèneres discursius:")</f>
        <v>●Gèneres discursius:</v>
      </c>
      <c r="D14" s="118" t="str">
        <f>IFERROR(__xludf.DUMMYFUNCTION("""COMPUTED_VALUE"""),"●Gèneres discursius:")</f>
        <v>●Gèneres discursius:</v>
      </c>
      <c r="E14" s="118" t="str">
        <f>IFERROR(__xludf.DUMMYFUNCTION("""COMPUTED_VALUE"""),"●Gèneres discursius:")</f>
        <v>●Gèneres discursius:</v>
      </c>
      <c r="F14" s="118" t="str">
        <f>IFERROR(__xludf.DUMMYFUNCTION("""COMPUTED_VALUE"""),"●Gèneres discursius:")</f>
        <v>●Gèneres discursius:</v>
      </c>
      <c r="G14" s="118" t="str">
        <f>IFERROR(__xludf.DUMMYFUNCTION("""COMPUTED_VALUE"""),"●Gèneres discursius:")</f>
        <v>●Gèneres discursius:</v>
      </c>
      <c r="H14" s="118"/>
      <c r="I14" s="118"/>
      <c r="J14" s="118"/>
      <c r="K14" s="118"/>
      <c r="L14" s="118"/>
      <c r="M14" s="118"/>
      <c r="N14" s="118"/>
      <c r="O14" s="118"/>
      <c r="P14" s="118"/>
      <c r="Q14" s="118"/>
      <c r="R14" s="118"/>
      <c r="S14" s="118"/>
      <c r="T14" s="164"/>
      <c r="U14" s="164"/>
      <c r="V14" s="43"/>
      <c r="W14" s="43"/>
      <c r="X14" s="43"/>
      <c r="Y14" s="43"/>
      <c r="Z14" s="43"/>
      <c r="AA14" s="43"/>
      <c r="AB14" s="43"/>
    </row>
    <row r="15">
      <c r="A15" s="43"/>
      <c r="B15" s="118"/>
      <c r="C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G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H15" s="118"/>
      <c r="I15" s="118"/>
      <c r="J15" s="118"/>
      <c r="K15" s="118"/>
      <c r="L15" s="118"/>
      <c r="M15" s="118"/>
      <c r="N15" s="118"/>
      <c r="O15" s="118"/>
      <c r="P15" s="118"/>
      <c r="Q15" s="118"/>
      <c r="R15" s="118"/>
      <c r="S15" s="118"/>
      <c r="T15" s="164"/>
      <c r="U15" s="164"/>
      <c r="V15" s="43"/>
      <c r="W15" s="43"/>
      <c r="X15" s="43"/>
      <c r="Y15" s="43"/>
      <c r="Z15" s="43"/>
      <c r="AA15" s="43"/>
      <c r="AB15" s="43"/>
    </row>
    <row r="16">
      <c r="A16" s="43"/>
      <c r="B16" s="118"/>
      <c r="C16" s="118" t="str">
        <f>IFERROR(__xludf.DUMMYFUNCTION("""COMPUTED_VALUE"""),"● Processos")</f>
        <v>● Processos</v>
      </c>
      <c r="D16" s="118" t="str">
        <f>IFERROR(__xludf.DUMMYFUNCTION("""COMPUTED_VALUE"""),"● Processos")</f>
        <v>● Processos</v>
      </c>
      <c r="E16" s="118" t="str">
        <f>IFERROR(__xludf.DUMMYFUNCTION("""COMPUTED_VALUE"""),"● Processos")</f>
        <v>● Processos</v>
      </c>
      <c r="F16" s="118" t="str">
        <f>IFERROR(__xludf.DUMMYFUNCTION("""COMPUTED_VALUE"""),"● Processos")</f>
        <v>● Processos</v>
      </c>
      <c r="G16" s="118" t="str">
        <f>IFERROR(__xludf.DUMMYFUNCTION("""COMPUTED_VALUE"""),"● Processos")</f>
        <v>● Processos</v>
      </c>
      <c r="H16" s="118"/>
      <c r="I16" s="118"/>
      <c r="J16" s="118"/>
      <c r="K16" s="118"/>
      <c r="L16" s="118"/>
      <c r="M16" s="118"/>
      <c r="N16" s="118"/>
      <c r="O16" s="118"/>
      <c r="P16" s="118"/>
      <c r="Q16" s="118"/>
      <c r="R16" s="118"/>
      <c r="S16" s="118"/>
      <c r="T16" s="164"/>
      <c r="U16" s="164"/>
      <c r="V16" s="43"/>
      <c r="W16" s="43"/>
      <c r="X16" s="43"/>
      <c r="Y16" s="43"/>
      <c r="Z16" s="43"/>
      <c r="AA16" s="43"/>
      <c r="AB16" s="43"/>
    </row>
    <row r="17">
      <c r="A17" s="43"/>
      <c r="B17" s="118"/>
      <c r="C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G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H17" s="118"/>
      <c r="I17" s="118"/>
      <c r="J17" s="118"/>
      <c r="K17" s="118"/>
      <c r="L17" s="118"/>
      <c r="M17" s="118"/>
      <c r="N17" s="118"/>
      <c r="O17" s="118"/>
      <c r="P17" s="118"/>
      <c r="Q17" s="118"/>
      <c r="R17" s="118"/>
      <c r="S17" s="118"/>
      <c r="T17" s="164"/>
      <c r="U17" s="164"/>
      <c r="V17" s="43"/>
      <c r="W17" s="43"/>
      <c r="X17" s="43"/>
      <c r="Y17" s="43"/>
      <c r="Z17" s="43"/>
      <c r="AA17" s="43"/>
      <c r="AB17" s="43"/>
    </row>
    <row r="18">
      <c r="A18" s="43"/>
      <c r="B18" s="118"/>
      <c r="C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18" s="118"/>
      <c r="I18" s="118"/>
      <c r="J18" s="118"/>
      <c r="K18" s="118"/>
      <c r="L18" s="118"/>
      <c r="M18" s="118"/>
      <c r="N18" s="118"/>
      <c r="O18" s="118"/>
      <c r="P18" s="118"/>
      <c r="Q18" s="118"/>
      <c r="R18" s="118"/>
      <c r="S18" s="118"/>
      <c r="T18" s="164"/>
      <c r="U18" s="164"/>
      <c r="V18" s="43"/>
      <c r="W18" s="43"/>
      <c r="X18" s="43"/>
      <c r="Y18" s="43"/>
      <c r="Z18" s="43"/>
      <c r="AA18" s="43"/>
      <c r="AB18" s="43"/>
    </row>
    <row r="19">
      <c r="A19" s="43"/>
      <c r="B19" s="118"/>
      <c r="C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G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H19" s="118"/>
      <c r="I19" s="118"/>
      <c r="J19" s="118"/>
      <c r="K19" s="118"/>
      <c r="L19" s="118"/>
      <c r="M19" s="118"/>
      <c r="N19" s="118"/>
      <c r="O19" s="118"/>
      <c r="P19" s="118"/>
      <c r="Q19" s="118"/>
      <c r="R19" s="118"/>
      <c r="S19" s="118"/>
      <c r="T19" s="164"/>
      <c r="U19" s="164"/>
      <c r="V19" s="43"/>
      <c r="W19" s="43"/>
      <c r="X19" s="43"/>
      <c r="Y19" s="43"/>
      <c r="Z19" s="43"/>
      <c r="AA19" s="43"/>
      <c r="AB19" s="43"/>
    </row>
    <row r="20">
      <c r="A20" s="43"/>
      <c r="B20" s="118"/>
      <c r="C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G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H20" s="118"/>
      <c r="I20" s="118"/>
      <c r="J20" s="118"/>
      <c r="K20" s="118"/>
      <c r="L20" s="118"/>
      <c r="M20" s="118"/>
      <c r="N20" s="118"/>
      <c r="O20" s="118"/>
      <c r="P20" s="118"/>
      <c r="Q20" s="118"/>
      <c r="R20" s="118"/>
      <c r="S20" s="118"/>
      <c r="T20" s="164"/>
      <c r="U20" s="164"/>
      <c r="V20" s="43"/>
      <c r="W20" s="43"/>
      <c r="X20" s="43"/>
      <c r="Y20" s="43"/>
      <c r="Z20" s="43"/>
      <c r="AA20" s="43"/>
      <c r="AB20" s="43"/>
    </row>
    <row r="21" ht="15.75" customHeight="1">
      <c r="A21" s="43"/>
      <c r="B21" s="118"/>
      <c r="C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G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H21" s="118"/>
      <c r="I21" s="118"/>
      <c r="J21" s="118"/>
      <c r="K21" s="118"/>
      <c r="L21" s="118"/>
      <c r="M21" s="118"/>
      <c r="N21" s="118"/>
      <c r="O21" s="118"/>
      <c r="P21" s="118"/>
      <c r="Q21" s="118"/>
      <c r="R21" s="118"/>
      <c r="S21" s="118"/>
      <c r="T21" s="164"/>
      <c r="U21" s="164"/>
      <c r="V21" s="43"/>
      <c r="W21" s="43"/>
      <c r="X21" s="43"/>
      <c r="Y21" s="43"/>
      <c r="Z21" s="43"/>
      <c r="AA21" s="43"/>
      <c r="AB21" s="43"/>
    </row>
    <row r="22" ht="15.75" customHeight="1">
      <c r="A22" s="43"/>
      <c r="B22" s="118"/>
      <c r="C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G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H22" s="118"/>
      <c r="I22" s="118"/>
      <c r="J22" s="118"/>
      <c r="K22" s="118"/>
      <c r="L22" s="118"/>
      <c r="M22" s="118"/>
      <c r="N22" s="118"/>
      <c r="O22" s="118"/>
      <c r="P22" s="118"/>
      <c r="Q22" s="118"/>
      <c r="R22" s="118"/>
      <c r="S22" s="118"/>
      <c r="T22" s="164"/>
      <c r="U22" s="164"/>
      <c r="V22" s="43"/>
      <c r="W22" s="43"/>
      <c r="X22" s="43"/>
      <c r="Y22" s="43"/>
      <c r="Z22" s="43"/>
      <c r="AA22" s="43"/>
      <c r="AB22" s="43"/>
    </row>
    <row r="23" ht="15.75" customHeight="1">
      <c r="A23" s="43"/>
      <c r="B23" s="118"/>
      <c r="C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G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H23" s="118"/>
      <c r="I23" s="118"/>
      <c r="J23" s="118"/>
      <c r="K23" s="118"/>
      <c r="L23" s="118"/>
      <c r="M23" s="118"/>
      <c r="N23" s="118"/>
      <c r="O23" s="118"/>
      <c r="P23" s="118"/>
      <c r="Q23" s="118"/>
      <c r="R23" s="118"/>
      <c r="S23" s="118"/>
      <c r="T23" s="164"/>
      <c r="U23" s="164"/>
      <c r="V23" s="43"/>
      <c r="W23" s="43"/>
      <c r="X23" s="43"/>
      <c r="Y23" s="43"/>
      <c r="Z23" s="43"/>
      <c r="AA23" s="43"/>
      <c r="AB23" s="43"/>
    </row>
    <row r="24" ht="15.75" customHeight="1">
      <c r="A24" s="43"/>
      <c r="B24" s="118"/>
      <c r="C24" s="118" t="str">
        <f>IFERROR(__xludf.DUMMYFUNCTION("""COMPUTED_VALUE"""),"● Reconeixement i ús discursiu dels elements lingüístics")</f>
        <v>● Reconeixement i ús discursiu dels elements lingüístics</v>
      </c>
      <c r="D24" s="118" t="str">
        <f>IFERROR(__xludf.DUMMYFUNCTION("""COMPUTED_VALUE"""),"● Reconeixement i ús discursiu dels elements lingüístics")</f>
        <v>● Reconeixement i ús discursiu dels elements lingüístics</v>
      </c>
      <c r="E24" s="118" t="str">
        <f>IFERROR(__xludf.DUMMYFUNCTION("""COMPUTED_VALUE"""),"● Reconeixement i ús discursiu dels elements lingüístics")</f>
        <v>● Reconeixement i ús discursiu dels elements lingüístics</v>
      </c>
      <c r="F24" s="118" t="str">
        <f>IFERROR(__xludf.DUMMYFUNCTION("""COMPUTED_VALUE"""),"● Reconeixement i ús discursiu dels elements lingüístics")</f>
        <v>● Reconeixement i ús discursiu dels elements lingüístics</v>
      </c>
      <c r="G24" s="118" t="str">
        <f>IFERROR(__xludf.DUMMYFUNCTION("""COMPUTED_VALUE"""),"● Reconeixement i ús discursiu dels elements lingüístics")</f>
        <v>● Reconeixement i ús discursiu dels elements lingüístics</v>
      </c>
      <c r="H24" s="118"/>
      <c r="I24" s="118"/>
      <c r="J24" s="118"/>
      <c r="K24" s="118"/>
      <c r="L24" s="118"/>
      <c r="M24" s="118"/>
      <c r="N24" s="118"/>
      <c r="O24" s="118"/>
      <c r="P24" s="118"/>
      <c r="Q24" s="118"/>
      <c r="R24" s="118"/>
      <c r="S24" s="118"/>
      <c r="T24" s="164"/>
      <c r="U24" s="164"/>
      <c r="V24" s="43"/>
      <c r="W24" s="43"/>
      <c r="X24" s="43"/>
      <c r="Y24" s="43"/>
      <c r="Z24" s="43"/>
      <c r="AA24" s="43"/>
      <c r="AB24" s="43"/>
    </row>
    <row r="25" ht="15.75" customHeight="1">
      <c r="A25" s="43"/>
      <c r="B25" s="118"/>
      <c r="C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G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H25" s="118"/>
      <c r="I25" s="118"/>
      <c r="J25" s="118"/>
      <c r="K25" s="118"/>
      <c r="L25" s="118"/>
      <c r="M25" s="118"/>
      <c r="N25" s="118"/>
      <c r="O25" s="118"/>
      <c r="P25" s="118"/>
      <c r="Q25" s="118"/>
      <c r="R25" s="118"/>
      <c r="S25" s="118"/>
      <c r="T25" s="164"/>
      <c r="U25" s="164"/>
      <c r="V25" s="43"/>
      <c r="W25" s="43"/>
      <c r="X25" s="43"/>
      <c r="Y25" s="43"/>
      <c r="Z25" s="43"/>
      <c r="AA25" s="43"/>
      <c r="AB25" s="43"/>
    </row>
    <row r="26" ht="15.75" customHeight="1">
      <c r="A26" s="43"/>
      <c r="B26" s="118"/>
      <c r="C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G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H26" s="118"/>
      <c r="I26" s="118"/>
      <c r="J26" s="118"/>
      <c r="K26" s="118"/>
      <c r="L26" s="118"/>
      <c r="M26" s="118"/>
      <c r="N26" s="118"/>
      <c r="O26" s="118"/>
      <c r="P26" s="118"/>
      <c r="Q26" s="118"/>
      <c r="R26" s="118"/>
      <c r="S26" s="118"/>
      <c r="T26" s="164"/>
      <c r="U26" s="164"/>
      <c r="V26" s="43"/>
      <c r="W26" s="43"/>
      <c r="X26" s="43"/>
      <c r="Y26" s="43"/>
      <c r="Z26" s="43"/>
      <c r="AA26" s="43"/>
      <c r="AB26" s="43"/>
    </row>
    <row r="27" ht="15.75" customHeight="1">
      <c r="A27" s="43"/>
      <c r="B27" s="118"/>
      <c r="C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G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H27" s="118"/>
      <c r="I27" s="118"/>
      <c r="J27" s="118"/>
      <c r="K27" s="118"/>
      <c r="L27" s="118"/>
      <c r="M27" s="118"/>
      <c r="N27" s="118"/>
      <c r="O27" s="118"/>
      <c r="P27" s="118"/>
      <c r="Q27" s="118"/>
      <c r="R27" s="118"/>
      <c r="S27" s="118"/>
      <c r="T27" s="164"/>
      <c r="U27" s="164"/>
      <c r="V27" s="43"/>
      <c r="W27" s="43"/>
      <c r="X27" s="43"/>
      <c r="Y27" s="43"/>
      <c r="Z27" s="43"/>
      <c r="AA27" s="43"/>
      <c r="AB27" s="43"/>
    </row>
    <row r="28" ht="15.75" customHeight="1">
      <c r="A28" s="43"/>
      <c r="B28" s="118"/>
      <c r="C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28" s="118"/>
      <c r="I28" s="118"/>
      <c r="J28" s="118"/>
      <c r="K28" s="118"/>
      <c r="L28" s="118"/>
      <c r="M28" s="118"/>
      <c r="N28" s="118"/>
      <c r="O28" s="118"/>
      <c r="P28" s="118"/>
      <c r="Q28" s="118"/>
      <c r="R28" s="118"/>
      <c r="S28" s="118"/>
      <c r="T28" s="164"/>
      <c r="U28" s="164"/>
      <c r="V28" s="43"/>
      <c r="W28" s="43"/>
      <c r="X28" s="43"/>
      <c r="Y28" s="43"/>
      <c r="Z28" s="43"/>
      <c r="AA28" s="43"/>
      <c r="AB28" s="43"/>
    </row>
    <row r="29" ht="15.75" customHeight="1">
      <c r="A29" s="43"/>
      <c r="B29" s="118"/>
      <c r="C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G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H29" s="118"/>
      <c r="I29" s="118"/>
      <c r="J29" s="118"/>
      <c r="K29" s="118"/>
      <c r="L29" s="118"/>
      <c r="M29" s="118"/>
      <c r="N29" s="118"/>
      <c r="O29" s="118"/>
      <c r="P29" s="118"/>
      <c r="Q29" s="118"/>
      <c r="R29" s="118"/>
      <c r="S29" s="118"/>
      <c r="T29" s="164"/>
      <c r="U29" s="164"/>
      <c r="V29" s="43"/>
      <c r="W29" s="43"/>
      <c r="X29" s="43"/>
      <c r="Y29" s="43"/>
      <c r="Z29" s="43"/>
      <c r="AA29" s="43"/>
      <c r="AB29" s="43"/>
    </row>
    <row r="30" ht="15.75" customHeight="1">
      <c r="A30" s="43"/>
      <c r="B30" s="118"/>
      <c r="C30" s="118" t="str">
        <f>IFERROR(__xludf.DUMMYFUNCTION("""COMPUTED_VALUE"""),"EDUCACIÓ LITERÀRIA")</f>
        <v>EDUCACIÓ LITERÀRIA</v>
      </c>
      <c r="D30" s="118" t="str">
        <f>IFERROR(__xludf.DUMMYFUNCTION("""COMPUTED_VALUE"""),"EDUCACIÓ LITERÀRIA")</f>
        <v>EDUCACIÓ LITERÀRIA</v>
      </c>
      <c r="E30" s="118" t="str">
        <f>IFERROR(__xludf.DUMMYFUNCTION("""COMPUTED_VALUE"""),"EDUCACIÓ LITERÀRIA")</f>
        <v>EDUCACIÓ LITERÀRIA</v>
      </c>
      <c r="F30" s="118" t="str">
        <f>IFERROR(__xludf.DUMMYFUNCTION("""COMPUTED_VALUE"""),"EDUCACIÓ LITERÀRIA")</f>
        <v>EDUCACIÓ LITERÀRIA</v>
      </c>
      <c r="G30" s="118" t="str">
        <f>IFERROR(__xludf.DUMMYFUNCTION("""COMPUTED_VALUE"""),"EDUCACIÓ LITERÀRIA")</f>
        <v>EDUCACIÓ LITERÀRIA</v>
      </c>
      <c r="H30" s="118"/>
      <c r="I30" s="118"/>
      <c r="J30" s="118"/>
      <c r="K30" s="118"/>
      <c r="L30" s="118"/>
      <c r="M30" s="118"/>
      <c r="N30" s="118"/>
      <c r="O30" s="118"/>
      <c r="P30" s="118"/>
      <c r="Q30" s="118"/>
      <c r="R30" s="118"/>
      <c r="S30" s="118"/>
      <c r="T30" s="164"/>
      <c r="U30" s="164"/>
      <c r="V30" s="43"/>
      <c r="W30" s="43"/>
      <c r="X30" s="43"/>
      <c r="Y30" s="43"/>
      <c r="Z30" s="43"/>
      <c r="AA30" s="43"/>
      <c r="AB30" s="43"/>
    </row>
    <row r="31" ht="15.75" customHeight="1">
      <c r="A31" s="43"/>
      <c r="B31" s="118"/>
      <c r="C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G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H31" s="118"/>
      <c r="I31" s="118"/>
      <c r="J31" s="118"/>
      <c r="K31" s="118"/>
      <c r="L31" s="118"/>
      <c r="M31" s="118"/>
      <c r="N31" s="118"/>
      <c r="O31" s="118"/>
      <c r="P31" s="118"/>
      <c r="Q31" s="118"/>
      <c r="R31" s="118"/>
      <c r="S31" s="118"/>
      <c r="T31" s="164"/>
      <c r="U31" s="164"/>
      <c r="V31" s="43"/>
      <c r="W31" s="43"/>
      <c r="X31" s="43"/>
      <c r="Y31" s="43"/>
      <c r="Z31" s="43"/>
      <c r="AA31" s="43"/>
      <c r="AB31" s="43"/>
    </row>
    <row r="32" ht="15.75" customHeight="1">
      <c r="A32" s="43"/>
      <c r="B32" s="118"/>
      <c r="C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G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H32" s="118"/>
      <c r="I32" s="118"/>
      <c r="J32" s="118"/>
      <c r="K32" s="118"/>
      <c r="L32" s="118"/>
      <c r="M32" s="118"/>
      <c r="N32" s="118"/>
      <c r="O32" s="118"/>
      <c r="P32" s="118"/>
      <c r="Q32" s="118"/>
      <c r="R32" s="118"/>
      <c r="S32" s="118"/>
      <c r="T32" s="164"/>
      <c r="U32" s="164"/>
      <c r="V32" s="43"/>
      <c r="W32" s="43"/>
      <c r="X32" s="43"/>
      <c r="Y32" s="43"/>
      <c r="Z32" s="43"/>
      <c r="AA32" s="43"/>
      <c r="AB32" s="43"/>
    </row>
    <row r="33" ht="15.75" customHeight="1">
      <c r="A33" s="43"/>
      <c r="B33" s="118"/>
      <c r="C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G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H33" s="118"/>
      <c r="I33" s="118"/>
      <c r="J33" s="118"/>
      <c r="K33" s="118"/>
      <c r="L33" s="118"/>
      <c r="M33" s="118"/>
      <c r="N33" s="118"/>
      <c r="O33" s="118"/>
      <c r="P33" s="118"/>
      <c r="Q33" s="118"/>
      <c r="R33" s="118"/>
      <c r="S33" s="118"/>
      <c r="T33" s="164"/>
      <c r="U33" s="164"/>
      <c r="V33" s="43"/>
      <c r="W33" s="43"/>
      <c r="X33" s="43"/>
      <c r="Y33" s="43"/>
      <c r="Z33" s="43"/>
      <c r="AA33" s="43"/>
      <c r="AB33" s="43"/>
    </row>
    <row r="34" ht="15.75" customHeight="1">
      <c r="A34" s="43"/>
      <c r="B34" s="118"/>
      <c r="C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G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H34" s="118"/>
      <c r="I34" s="118"/>
      <c r="J34" s="118"/>
      <c r="K34" s="118"/>
      <c r="L34" s="118"/>
      <c r="M34" s="118"/>
      <c r="N34" s="118"/>
      <c r="O34" s="118"/>
      <c r="P34" s="118"/>
      <c r="Q34" s="118"/>
      <c r="R34" s="118"/>
      <c r="S34" s="118"/>
      <c r="T34" s="164"/>
      <c r="U34" s="164"/>
      <c r="V34" s="43"/>
      <c r="W34" s="43"/>
      <c r="X34" s="43"/>
      <c r="Y34" s="43"/>
      <c r="Z34" s="43"/>
      <c r="AA34" s="43"/>
      <c r="AB34" s="43"/>
    </row>
    <row r="35" ht="15.75" customHeight="1">
      <c r="A35" s="43"/>
      <c r="B35" s="118"/>
      <c r="C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G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H35" s="118"/>
      <c r="I35" s="118"/>
      <c r="J35" s="118"/>
      <c r="K35" s="118"/>
      <c r="L35" s="118"/>
      <c r="M35" s="118"/>
      <c r="N35" s="118"/>
      <c r="O35" s="118"/>
      <c r="P35" s="118"/>
      <c r="Q35" s="118"/>
      <c r="R35" s="118"/>
      <c r="S35" s="118"/>
      <c r="T35" s="164"/>
      <c r="U35" s="164"/>
      <c r="V35" s="43"/>
      <c r="W35" s="43"/>
      <c r="X35" s="43"/>
      <c r="Y35" s="43"/>
      <c r="Z35" s="43"/>
      <c r="AA35" s="43"/>
      <c r="AB35" s="43"/>
    </row>
    <row r="36" ht="15.75" customHeight="1">
      <c r="A36" s="43"/>
      <c r="B36" s="118"/>
      <c r="C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G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H36" s="118"/>
      <c r="I36" s="118"/>
      <c r="J36" s="118"/>
      <c r="K36" s="118"/>
      <c r="L36" s="118"/>
      <c r="M36" s="118"/>
      <c r="N36" s="118"/>
      <c r="O36" s="118"/>
      <c r="P36" s="118"/>
      <c r="Q36" s="118"/>
      <c r="R36" s="118"/>
      <c r="S36" s="118"/>
      <c r="T36" s="164"/>
      <c r="U36" s="164"/>
      <c r="V36" s="43"/>
      <c r="W36" s="43"/>
      <c r="X36" s="43"/>
      <c r="Y36" s="43"/>
      <c r="Z36" s="43"/>
      <c r="AA36" s="43"/>
      <c r="AB36" s="43"/>
    </row>
    <row r="37" ht="15.75" customHeight="1">
      <c r="A37" s="43"/>
      <c r="B37" s="118"/>
      <c r="C37" s="118" t="str">
        <f>IFERROR(__xludf.DUMMYFUNCTION("""COMPUTED_VALUE"""),"REFLEXIÓ SOBRE LA LLENGUA")</f>
        <v>REFLEXIÓ SOBRE LA LLENGUA</v>
      </c>
      <c r="D37" s="118" t="str">
        <f>IFERROR(__xludf.DUMMYFUNCTION("""COMPUTED_VALUE"""),"REFLEXIÓ SOBRE LA LLENGUA")</f>
        <v>REFLEXIÓ SOBRE LA LLENGUA</v>
      </c>
      <c r="E37" s="118" t="str">
        <f>IFERROR(__xludf.DUMMYFUNCTION("""COMPUTED_VALUE"""),"REFLEXIÓ SOBRE LA LLENGUA")</f>
        <v>REFLEXIÓ SOBRE LA LLENGUA</v>
      </c>
      <c r="F37" s="118" t="str">
        <f>IFERROR(__xludf.DUMMYFUNCTION("""COMPUTED_VALUE"""),"REFLEXIÓ SOBRE LA LLENGUA")</f>
        <v>REFLEXIÓ SOBRE LA LLENGUA</v>
      </c>
      <c r="G37" s="118" t="str">
        <f>IFERROR(__xludf.DUMMYFUNCTION("""COMPUTED_VALUE"""),"REFLEXIÓ SOBRE LA LLENGUA")</f>
        <v>REFLEXIÓ SOBRE LA LLENGUA</v>
      </c>
      <c r="H37" s="118"/>
      <c r="I37" s="118"/>
      <c r="J37" s="118"/>
      <c r="K37" s="118"/>
      <c r="L37" s="118"/>
      <c r="M37" s="118"/>
      <c r="N37" s="118"/>
      <c r="O37" s="118"/>
      <c r="P37" s="118"/>
      <c r="Q37" s="118"/>
      <c r="R37" s="118"/>
      <c r="S37" s="118"/>
      <c r="T37" s="164"/>
      <c r="U37" s="164"/>
      <c r="V37" s="43"/>
      <c r="W37" s="43"/>
      <c r="X37" s="43"/>
      <c r="Y37" s="43"/>
      <c r="Z37" s="43"/>
      <c r="AA37" s="43"/>
      <c r="AB37" s="43"/>
    </row>
    <row r="38" ht="15.75" customHeight="1">
      <c r="A38" s="43"/>
      <c r="B38" s="118"/>
      <c r="C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G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H38" s="118"/>
      <c r="I38" s="118"/>
      <c r="J38" s="118"/>
      <c r="K38" s="118"/>
      <c r="L38" s="118"/>
      <c r="M38" s="118"/>
      <c r="N38" s="118"/>
      <c r="O38" s="118"/>
      <c r="P38" s="118"/>
      <c r="Q38" s="118"/>
      <c r="R38" s="118"/>
      <c r="S38" s="118"/>
      <c r="T38" s="164"/>
      <c r="U38" s="164"/>
      <c r="V38" s="43"/>
      <c r="W38" s="43"/>
      <c r="X38" s="43"/>
      <c r="Y38" s="43"/>
      <c r="Z38" s="43"/>
      <c r="AA38" s="43"/>
      <c r="AB38" s="43"/>
    </row>
    <row r="39" ht="15.75" customHeight="1">
      <c r="A39" s="43"/>
      <c r="B39" s="118"/>
      <c r="C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G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H39" s="118"/>
      <c r="I39" s="118"/>
      <c r="J39" s="118"/>
      <c r="K39" s="118"/>
      <c r="L39" s="118"/>
      <c r="M39" s="118"/>
      <c r="N39" s="118"/>
      <c r="O39" s="118"/>
      <c r="P39" s="118"/>
      <c r="Q39" s="118"/>
      <c r="R39" s="118"/>
      <c r="S39" s="118"/>
      <c r="T39" s="164"/>
      <c r="U39" s="164"/>
      <c r="V39" s="43"/>
      <c r="W39" s="43"/>
      <c r="X39" s="43"/>
      <c r="Y39" s="43"/>
      <c r="Z39" s="43"/>
      <c r="AA39" s="43"/>
      <c r="AB39" s="43"/>
    </row>
    <row r="40" ht="15.75" customHeight="1">
      <c r="A40" s="43"/>
      <c r="B40" s="118"/>
      <c r="C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G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H40" s="118"/>
      <c r="I40" s="118"/>
      <c r="J40" s="118"/>
      <c r="K40" s="118"/>
      <c r="L40" s="118"/>
      <c r="M40" s="118"/>
      <c r="N40" s="118"/>
      <c r="O40" s="118"/>
      <c r="P40" s="118"/>
      <c r="Q40" s="118"/>
      <c r="R40" s="118"/>
      <c r="S40" s="118"/>
      <c r="T40" s="164"/>
      <c r="U40" s="164"/>
      <c r="V40" s="43"/>
      <c r="W40" s="43"/>
      <c r="X40" s="43"/>
      <c r="Y40" s="43"/>
      <c r="Z40" s="43"/>
      <c r="AA40" s="43"/>
      <c r="AB40" s="43"/>
    </row>
    <row r="41" ht="15.75" customHeight="1">
      <c r="A41" s="43"/>
      <c r="B41" s="118"/>
      <c r="C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G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H41" s="118"/>
      <c r="I41" s="118"/>
      <c r="J41" s="118"/>
      <c r="K41" s="118"/>
      <c r="L41" s="118"/>
      <c r="M41" s="118"/>
      <c r="N41" s="118"/>
      <c r="O41" s="118"/>
      <c r="P41" s="118"/>
      <c r="Q41" s="118"/>
      <c r="R41" s="118"/>
      <c r="S41" s="118"/>
      <c r="T41" s="164"/>
      <c r="U41" s="164"/>
      <c r="V41" s="43"/>
      <c r="W41" s="43"/>
      <c r="X41" s="43"/>
      <c r="Y41" s="43"/>
      <c r="Z41" s="43"/>
      <c r="AA41" s="43"/>
      <c r="AB41" s="43"/>
    </row>
    <row r="42" ht="15.75" customHeight="1">
      <c r="A42" s="43"/>
      <c r="B42" s="118"/>
      <c r="C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G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H42" s="118"/>
      <c r="I42" s="118"/>
      <c r="J42" s="118"/>
      <c r="K42" s="118"/>
      <c r="L42" s="118"/>
      <c r="M42" s="118"/>
      <c r="N42" s="118"/>
      <c r="O42" s="118"/>
      <c r="P42" s="118"/>
      <c r="Q42" s="118"/>
      <c r="R42" s="118"/>
      <c r="S42" s="118"/>
      <c r="T42" s="164"/>
      <c r="U42" s="164"/>
      <c r="V42" s="43"/>
      <c r="W42" s="43"/>
      <c r="X42" s="43"/>
      <c r="Y42" s="43"/>
      <c r="Z42" s="43"/>
      <c r="AA42" s="43"/>
      <c r="AB42" s="43"/>
    </row>
    <row r="43" ht="15.75" customHeight="1">
      <c r="A43" s="43"/>
      <c r="B43" s="118"/>
      <c r="C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G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H43" s="118"/>
      <c r="I43" s="118"/>
      <c r="J43" s="118"/>
      <c r="K43" s="118"/>
      <c r="L43" s="118"/>
      <c r="M43" s="118"/>
      <c r="N43" s="118"/>
      <c r="O43" s="118"/>
      <c r="P43" s="118"/>
      <c r="Q43" s="118"/>
      <c r="R43" s="118"/>
      <c r="S43" s="118"/>
      <c r="T43" s="164"/>
      <c r="U43" s="164"/>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4"/>
      <c r="U44" s="164"/>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4"/>
      <c r="U45" s="164"/>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4"/>
      <c r="U46" s="164"/>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4"/>
      <c r="U47" s="164"/>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4"/>
      <c r="U48" s="164"/>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4"/>
      <c r="U49" s="164"/>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4"/>
      <c r="U50" s="164"/>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4"/>
      <c r="U51" s="164"/>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4"/>
      <c r="U52" s="164"/>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4"/>
      <c r="U53" s="164"/>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4"/>
      <c r="U54" s="164"/>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4"/>
      <c r="U55" s="164"/>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4"/>
      <c r="U56" s="164"/>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4"/>
      <c r="U57" s="164"/>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4"/>
      <c r="U58" s="164"/>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4"/>
      <c r="U59" s="164"/>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4"/>
      <c r="U60" s="164"/>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4"/>
      <c r="U61" s="164"/>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4"/>
      <c r="U62" s="164"/>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4"/>
      <c r="U63" s="164"/>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4"/>
      <c r="U64" s="164"/>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4"/>
      <c r="U65" s="164"/>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4"/>
      <c r="U66" s="164"/>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4"/>
      <c r="U67" s="164"/>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4"/>
      <c r="U68" s="164"/>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4"/>
      <c r="U69" s="164"/>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4"/>
      <c r="U70" s="164"/>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4"/>
      <c r="U71" s="164"/>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4"/>
      <c r="U72" s="164"/>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4"/>
      <c r="U73" s="164"/>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4"/>
      <c r="U74" s="164"/>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4"/>
      <c r="U75" s="164"/>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4"/>
      <c r="U76" s="164"/>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4"/>
      <c r="U77" s="164"/>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4"/>
      <c r="U78" s="164"/>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4"/>
      <c r="U79" s="164"/>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4"/>
      <c r="U80" s="164"/>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4"/>
      <c r="U81" s="164"/>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4"/>
      <c r="U82" s="164"/>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4"/>
      <c r="U83" s="164"/>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4"/>
      <c r="U84" s="164"/>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4"/>
      <c r="U85" s="164"/>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4"/>
      <c r="U86" s="164"/>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4"/>
      <c r="U87" s="164"/>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4"/>
      <c r="U88" s="164"/>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4"/>
      <c r="U89" s="164"/>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4"/>
      <c r="U90" s="164"/>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4"/>
      <c r="U91" s="164"/>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4"/>
      <c r="U92" s="164"/>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4"/>
      <c r="U93" s="164"/>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4"/>
      <c r="U94" s="164"/>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4"/>
      <c r="U95" s="164"/>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4"/>
      <c r="U96" s="164"/>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4"/>
      <c r="U97" s="164"/>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4"/>
      <c r="U98" s="164"/>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4"/>
      <c r="U99" s="164"/>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4"/>
      <c r="U100" s="164"/>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4"/>
      <c r="U101" s="164"/>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4"/>
      <c r="U102" s="164"/>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4"/>
      <c r="U103" s="164"/>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4"/>
      <c r="U104" s="164"/>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4"/>
      <c r="U105" s="164"/>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4"/>
      <c r="U106" s="164"/>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4"/>
      <c r="U107" s="164"/>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4"/>
      <c r="U108" s="164"/>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4"/>
      <c r="U109" s="164"/>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4"/>
      <c r="U110" s="164"/>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4"/>
      <c r="U111" s="164"/>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4"/>
      <c r="U112" s="164"/>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4"/>
      <c r="U113" s="164"/>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4"/>
      <c r="U114" s="164"/>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4"/>
      <c r="U115" s="164"/>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4"/>
      <c r="U116" s="164"/>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4"/>
      <c r="U117" s="164"/>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4"/>
      <c r="U118" s="164"/>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4"/>
      <c r="U119" s="164"/>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4"/>
      <c r="U120" s="164"/>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4"/>
      <c r="U121" s="164"/>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4"/>
      <c r="U122" s="164"/>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4"/>
      <c r="U123" s="164"/>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4"/>
      <c r="U124" s="164"/>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4"/>
      <c r="U125" s="164"/>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4"/>
      <c r="U126" s="164"/>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4"/>
      <c r="U127" s="164"/>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4"/>
      <c r="U128" s="164"/>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4"/>
      <c r="U129" s="164"/>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4"/>
      <c r="U130" s="164"/>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4"/>
      <c r="U131" s="164"/>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4"/>
      <c r="U132" s="164"/>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4"/>
      <c r="U133" s="164"/>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4"/>
      <c r="U134" s="164"/>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4"/>
      <c r="U135" s="164"/>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4"/>
      <c r="U136" s="164"/>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4"/>
      <c r="U137" s="164"/>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4"/>
      <c r="U138" s="164"/>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4"/>
      <c r="U139" s="164"/>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4"/>
      <c r="U140" s="164"/>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4"/>
      <c r="U141" s="164"/>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4"/>
      <c r="U142" s="164"/>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4"/>
      <c r="U143" s="164"/>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4"/>
      <c r="U144" s="164"/>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4"/>
      <c r="U145" s="164"/>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4"/>
      <c r="U146" s="164"/>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4"/>
      <c r="U147" s="164"/>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4"/>
      <c r="U148" s="164"/>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4"/>
      <c r="U149" s="164"/>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4"/>
      <c r="U150" s="164"/>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4"/>
      <c r="U151" s="164"/>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4"/>
      <c r="U152" s="164"/>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4"/>
      <c r="U153" s="164"/>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4"/>
      <c r="U154" s="164"/>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4"/>
      <c r="U155" s="164"/>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4"/>
      <c r="U156" s="164"/>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4"/>
      <c r="U157" s="164"/>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4"/>
      <c r="U158" s="164"/>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4"/>
      <c r="U159" s="164"/>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4"/>
      <c r="U160" s="164"/>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4"/>
      <c r="U161" s="164"/>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4"/>
      <c r="U162" s="164"/>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4"/>
      <c r="U163" s="164"/>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4"/>
      <c r="U164" s="164"/>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4"/>
      <c r="U165" s="164"/>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4"/>
      <c r="U166" s="164"/>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4"/>
      <c r="U167" s="164"/>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4"/>
      <c r="U168" s="164"/>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4"/>
      <c r="U169" s="164"/>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4"/>
      <c r="U170" s="164"/>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4"/>
      <c r="U171" s="164"/>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4"/>
      <c r="U172" s="164"/>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4"/>
      <c r="U173" s="164"/>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4"/>
      <c r="U174" s="164"/>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4"/>
      <c r="U175" s="164"/>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4"/>
      <c r="U176" s="164"/>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4"/>
      <c r="U177" s="164"/>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4"/>
      <c r="U178" s="164"/>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4"/>
      <c r="U179" s="164"/>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4"/>
      <c r="U180" s="164"/>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4"/>
      <c r="U181" s="164"/>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4"/>
      <c r="U182" s="164"/>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4"/>
      <c r="U183" s="164"/>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4"/>
      <c r="U184" s="164"/>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4"/>
      <c r="U185" s="164"/>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4"/>
      <c r="U186" s="164"/>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4"/>
      <c r="U187" s="164"/>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4"/>
      <c r="U188" s="164"/>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4"/>
      <c r="U189" s="164"/>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4"/>
      <c r="U190" s="164"/>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4"/>
      <c r="U191" s="164"/>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4"/>
      <c r="U192" s="164"/>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4"/>
      <c r="U193" s="164"/>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4"/>
      <c r="U194" s="164"/>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4"/>
      <c r="U195" s="164"/>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4"/>
      <c r="U196" s="164"/>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4"/>
      <c r="U197" s="164"/>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4"/>
      <c r="U198" s="164"/>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4"/>
      <c r="U199" s="164"/>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4"/>
      <c r="U200" s="164"/>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4"/>
      <c r="U201" s="164"/>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4"/>
      <c r="U202" s="164"/>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4"/>
      <c r="U203" s="164"/>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4"/>
      <c r="U204" s="164"/>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4"/>
      <c r="U205" s="164"/>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4"/>
      <c r="U206" s="164"/>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4"/>
      <c r="U207" s="164"/>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4"/>
      <c r="U208" s="164"/>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4"/>
      <c r="U209" s="164"/>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4"/>
      <c r="U210" s="164"/>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4"/>
      <c r="U211" s="164"/>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4"/>
      <c r="U212" s="164"/>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4"/>
      <c r="U213" s="164"/>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4"/>
      <c r="U214" s="164"/>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4"/>
      <c r="U215" s="164"/>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4"/>
      <c r="U216" s="164"/>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4"/>
      <c r="U217" s="164"/>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4"/>
      <c r="U218" s="164"/>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4"/>
      <c r="U219" s="164"/>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4"/>
      <c r="U220" s="164"/>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4"/>
      <c r="U221" s="164"/>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4"/>
      <c r="U222" s="164"/>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4"/>
      <c r="U223" s="164"/>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4"/>
      <c r="U224" s="164"/>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4"/>
      <c r="U225" s="164"/>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4"/>
      <c r="U226" s="164"/>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4"/>
      <c r="U227" s="164"/>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4"/>
      <c r="U228" s="164"/>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4"/>
      <c r="U229" s="164"/>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4"/>
      <c r="U230" s="164"/>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4"/>
      <c r="U231" s="164"/>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4"/>
      <c r="U232" s="164"/>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4"/>
      <c r="U233" s="164"/>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4"/>
      <c r="U234" s="164"/>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4"/>
      <c r="U235" s="164"/>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4"/>
      <c r="U236" s="164"/>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4"/>
      <c r="U237" s="164"/>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4"/>
      <c r="U238" s="164"/>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4"/>
      <c r="U239" s="164"/>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4"/>
      <c r="U240" s="164"/>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4"/>
      <c r="U241" s="164"/>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4"/>
      <c r="U242" s="164"/>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4"/>
      <c r="U243" s="164"/>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8"/>
      <c r="B1" s="168"/>
      <c r="C1" s="168"/>
      <c r="D1" s="168"/>
      <c r="E1" s="168"/>
      <c r="F1" s="168"/>
      <c r="G1" s="168"/>
      <c r="H1" s="168"/>
      <c r="I1" s="43"/>
      <c r="J1" s="43"/>
      <c r="K1" s="43"/>
      <c r="L1" s="43"/>
      <c r="M1" s="43"/>
      <c r="N1" s="43"/>
      <c r="O1" s="43"/>
      <c r="P1" s="43"/>
      <c r="Q1" s="43"/>
      <c r="R1" s="43"/>
      <c r="S1" s="43"/>
      <c r="T1" s="43"/>
      <c r="U1" s="43"/>
      <c r="V1" s="43"/>
      <c r="W1" s="43"/>
      <c r="X1" s="43"/>
      <c r="Y1" s="43"/>
      <c r="Z1" s="43"/>
    </row>
    <row r="2" ht="48.75" customHeight="1">
      <c r="A2" s="169"/>
      <c r="B2" s="170"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71"/>
      <c r="B3" s="172" t="s">
        <v>2133</v>
      </c>
      <c r="C3" s="173" t="s">
        <v>2134</v>
      </c>
      <c r="D3" s="30"/>
      <c r="E3" s="30"/>
      <c r="F3" s="30"/>
      <c r="G3" s="30"/>
      <c r="H3" s="31"/>
      <c r="I3" s="43"/>
      <c r="J3" s="43"/>
      <c r="K3" s="43"/>
      <c r="L3" s="43"/>
      <c r="M3" s="43"/>
      <c r="N3" s="43"/>
      <c r="O3" s="43"/>
      <c r="P3" s="43"/>
      <c r="Q3" s="43"/>
      <c r="R3" s="43"/>
      <c r="S3" s="43"/>
      <c r="T3" s="43"/>
      <c r="U3" s="43"/>
      <c r="V3" s="43"/>
      <c r="W3" s="43"/>
      <c r="X3" s="43"/>
      <c r="Y3" s="43"/>
      <c r="Z3" s="43"/>
    </row>
    <row r="4" ht="30.0" customHeight="1">
      <c r="A4" s="171"/>
      <c r="B4" s="172" t="s">
        <v>2135</v>
      </c>
      <c r="C4" s="174" t="s">
        <v>203</v>
      </c>
      <c r="D4" s="30"/>
      <c r="E4" s="30"/>
      <c r="F4" s="30"/>
      <c r="G4" s="30"/>
      <c r="H4" s="31"/>
      <c r="I4" s="43"/>
      <c r="J4" s="43"/>
      <c r="K4" s="43"/>
      <c r="L4" s="43"/>
      <c r="M4" s="43"/>
      <c r="N4" s="43"/>
      <c r="O4" s="43"/>
      <c r="P4" s="43"/>
      <c r="Q4" s="43"/>
      <c r="R4" s="43"/>
      <c r="S4" s="43"/>
      <c r="T4" s="43"/>
      <c r="U4" s="43"/>
      <c r="V4" s="43"/>
      <c r="W4" s="43"/>
      <c r="X4" s="43"/>
      <c r="Y4" s="43"/>
      <c r="Z4" s="43"/>
    </row>
    <row r="5" ht="30.0" customHeight="1">
      <c r="A5" s="171"/>
      <c r="B5" s="172" t="s">
        <v>2136</v>
      </c>
      <c r="C5" s="175" t="s">
        <v>197</v>
      </c>
      <c r="D5" s="30"/>
      <c r="E5" s="30"/>
      <c r="F5" s="30"/>
      <c r="G5" s="30"/>
      <c r="H5" s="31"/>
      <c r="I5" s="43"/>
      <c r="J5" s="43"/>
      <c r="K5" s="43"/>
      <c r="L5" s="43"/>
      <c r="M5" s="43"/>
      <c r="N5" s="43"/>
      <c r="O5" s="43"/>
      <c r="P5" s="43"/>
      <c r="Q5" s="43"/>
      <c r="R5" s="43"/>
      <c r="S5" s="43"/>
      <c r="T5" s="43"/>
      <c r="U5" s="43"/>
      <c r="V5" s="43"/>
      <c r="W5" s="43"/>
      <c r="X5" s="43"/>
      <c r="Y5" s="43"/>
      <c r="Z5" s="43"/>
    </row>
    <row r="6">
      <c r="A6" s="171"/>
      <c r="B6" s="172" t="s">
        <v>2137</v>
      </c>
      <c r="C6" s="172" t="s">
        <v>18</v>
      </c>
      <c r="D6" s="176"/>
      <c r="E6" s="176"/>
      <c r="F6" s="176"/>
      <c r="G6" s="176"/>
      <c r="H6" s="176"/>
      <c r="I6" s="43"/>
      <c r="J6" s="43"/>
      <c r="K6" s="43"/>
      <c r="L6" s="43"/>
      <c r="M6" s="43"/>
      <c r="N6" s="43"/>
      <c r="O6" s="43"/>
      <c r="P6" s="43"/>
      <c r="Q6" s="43"/>
      <c r="R6" s="43"/>
      <c r="S6" s="43"/>
      <c r="T6" s="43"/>
      <c r="U6" s="43"/>
      <c r="V6" s="43"/>
      <c r="W6" s="43"/>
      <c r="X6" s="43"/>
      <c r="Y6" s="43"/>
      <c r="Z6" s="43"/>
    </row>
    <row r="7">
      <c r="A7" s="177"/>
      <c r="B7" s="178"/>
      <c r="C7" s="179"/>
      <c r="D7" s="179"/>
      <c r="E7" s="179"/>
      <c r="F7" s="179"/>
      <c r="G7" s="179"/>
      <c r="H7" s="179"/>
      <c r="I7" s="164"/>
      <c r="J7" s="164"/>
      <c r="K7" s="164"/>
      <c r="L7" s="164"/>
      <c r="M7" s="164"/>
      <c r="N7" s="164"/>
      <c r="O7" s="164"/>
      <c r="P7" s="164"/>
      <c r="Q7" s="164"/>
      <c r="R7" s="164"/>
      <c r="S7" s="164"/>
      <c r="T7" s="164"/>
      <c r="U7" s="164"/>
      <c r="V7" s="164"/>
      <c r="W7" s="164"/>
      <c r="X7" s="164"/>
      <c r="Y7" s="164"/>
      <c r="Z7" s="164"/>
    </row>
    <row r="8">
      <c r="A8" s="180"/>
      <c r="B8" s="181" t="s">
        <v>2138</v>
      </c>
      <c r="C8" s="182" t="s">
        <v>2139</v>
      </c>
      <c r="D8" s="30"/>
      <c r="E8" s="30"/>
      <c r="F8" s="30"/>
      <c r="G8" s="30"/>
      <c r="H8" s="31"/>
    </row>
    <row r="9" ht="84.0" customHeight="1">
      <c r="A9" s="180"/>
      <c r="B9" s="183" t="s">
        <v>2140</v>
      </c>
      <c r="C9" s="182" t="s">
        <v>2141</v>
      </c>
      <c r="D9" s="30"/>
      <c r="E9" s="30"/>
      <c r="F9" s="30"/>
      <c r="G9" s="30"/>
      <c r="H9" s="31"/>
    </row>
    <row r="10" ht="179.25" customHeight="1">
      <c r="A10" s="184"/>
      <c r="B10" s="185" t="s">
        <v>2142</v>
      </c>
      <c r="C10" s="182" t="s">
        <v>2143</v>
      </c>
      <c r="D10" s="30"/>
      <c r="E10" s="30"/>
      <c r="F10" s="30"/>
      <c r="G10" s="30"/>
      <c r="H10" s="31"/>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H2"/>
    <mergeCell ref="C3:H3"/>
    <mergeCell ref="C4:H4"/>
    <mergeCell ref="C5:H5"/>
    <mergeCell ref="C8:H8"/>
    <mergeCell ref="C9:H9"/>
    <mergeCell ref="C10:H10"/>
  </mergeCells>
  <conditionalFormatting sqref="C4:H5">
    <cfRule type="notContainsBlanks" dxfId="0" priority="1">
      <formula>LEN(TRIM(C4))&gt;0</formula>
    </cfRule>
  </conditionalFormatting>
  <conditionalFormatting sqref="C7 D6:H7">
    <cfRule type="notContainsBlanks" dxfId="1" priority="2">
      <formula>LEN(TRIM(C7))&gt;0</formula>
    </cfRule>
  </conditionalFormatting>
  <dataValidations>
    <dataValidation type="list" allowBlank="1" showErrorMessage="1" sqref="C4">
      <formula1>"Primer cicle,Segon cicle"</formula1>
    </dataValidation>
    <dataValidation type="list" allowBlank="1" showErrorMessage="1" sqref="D6:H6">
      <formula1>#REF!</formula1>
    </dataValidation>
    <dataValidation type="list" allowBlank="1" showErrorMessage="1" sqref="C7:H7">
      <formula1>'MATÈRIES OCULT'!$G$27:$G$40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7"/>
      <c r="B1" s="188"/>
      <c r="C1" s="189"/>
    </row>
    <row r="2" ht="57.75" customHeight="1">
      <c r="A2" s="190"/>
      <c r="B2" s="191" t="s">
        <v>2144</v>
      </c>
      <c r="C2" s="31"/>
      <c r="D2" s="192"/>
      <c r="E2" s="192"/>
      <c r="F2" s="192"/>
      <c r="G2" s="192"/>
      <c r="H2" s="192"/>
      <c r="I2" s="192"/>
      <c r="J2" s="192"/>
      <c r="K2" s="192"/>
      <c r="L2" s="192"/>
      <c r="M2" s="192"/>
      <c r="N2" s="192"/>
      <c r="O2" s="192"/>
      <c r="P2" s="192"/>
      <c r="Q2" s="192"/>
      <c r="R2" s="192"/>
      <c r="S2" s="192"/>
      <c r="T2" s="192"/>
      <c r="U2" s="192"/>
      <c r="V2" s="192"/>
      <c r="W2" s="192"/>
      <c r="X2" s="192"/>
    </row>
    <row r="3" ht="30.0" customHeight="1">
      <c r="A3" s="190"/>
      <c r="B3" s="193" t="s">
        <v>2145</v>
      </c>
      <c r="C3" s="193" t="s">
        <v>2146</v>
      </c>
      <c r="D3" s="192"/>
      <c r="E3" s="192"/>
      <c r="F3" s="192"/>
      <c r="G3" s="192"/>
      <c r="H3" s="192"/>
      <c r="I3" s="192"/>
      <c r="J3" s="192"/>
      <c r="K3" s="192"/>
      <c r="L3" s="192"/>
      <c r="M3" s="192"/>
      <c r="N3" s="192"/>
      <c r="O3" s="192"/>
      <c r="P3" s="192"/>
      <c r="Q3" s="192"/>
      <c r="R3" s="192"/>
      <c r="S3" s="192"/>
      <c r="T3" s="192"/>
      <c r="U3" s="192"/>
      <c r="V3" s="192"/>
      <c r="W3" s="192"/>
      <c r="X3" s="192"/>
    </row>
    <row r="4">
      <c r="A4" s="194"/>
      <c r="B4" s="195" t="s">
        <v>18</v>
      </c>
      <c r="C4" s="196" t="s">
        <v>146</v>
      </c>
      <c r="D4" s="43"/>
      <c r="E4" s="43"/>
      <c r="F4" s="43"/>
      <c r="G4" s="43"/>
      <c r="H4" s="43"/>
      <c r="I4" s="43"/>
      <c r="J4" s="43"/>
      <c r="K4" s="43"/>
      <c r="L4" s="43"/>
      <c r="M4" s="43"/>
      <c r="N4" s="43"/>
      <c r="O4" s="43"/>
      <c r="P4" s="43"/>
      <c r="Q4" s="43"/>
      <c r="R4" s="43"/>
      <c r="S4" s="43"/>
      <c r="T4" s="43"/>
      <c r="U4" s="43"/>
      <c r="V4" s="43"/>
      <c r="W4" s="43"/>
      <c r="X4" s="43"/>
    </row>
    <row r="5">
      <c r="A5" s="194"/>
      <c r="B5" s="195" t="s">
        <v>18</v>
      </c>
      <c r="C5" s="196" t="s">
        <v>95</v>
      </c>
      <c r="D5" s="43"/>
      <c r="E5" s="43"/>
      <c r="F5" s="43"/>
      <c r="G5" s="43"/>
      <c r="H5" s="43"/>
      <c r="I5" s="43"/>
      <c r="J5" s="43"/>
      <c r="K5" s="43"/>
      <c r="L5" s="43"/>
      <c r="M5" s="43"/>
      <c r="N5" s="43"/>
      <c r="O5" s="43"/>
      <c r="P5" s="43"/>
      <c r="Q5" s="43"/>
      <c r="R5" s="43"/>
      <c r="S5" s="43"/>
      <c r="T5" s="43"/>
      <c r="U5" s="43"/>
      <c r="V5" s="43"/>
      <c r="W5" s="43"/>
      <c r="X5" s="43"/>
    </row>
    <row r="6">
      <c r="A6" s="194"/>
      <c r="B6" s="195"/>
      <c r="C6" s="196"/>
      <c r="D6" s="43"/>
      <c r="E6" s="43"/>
      <c r="F6" s="43"/>
      <c r="G6" s="43"/>
      <c r="H6" s="43"/>
      <c r="I6" s="43"/>
      <c r="J6" s="43"/>
      <c r="K6" s="43"/>
      <c r="L6" s="43"/>
      <c r="M6" s="43"/>
      <c r="N6" s="43"/>
      <c r="O6" s="43"/>
      <c r="P6" s="43"/>
      <c r="Q6" s="43"/>
      <c r="R6" s="43"/>
      <c r="S6" s="43"/>
      <c r="T6" s="43"/>
      <c r="U6" s="43"/>
      <c r="V6" s="43"/>
      <c r="W6" s="43"/>
      <c r="X6" s="43"/>
    </row>
    <row r="7">
      <c r="A7" s="194"/>
      <c r="B7" s="195"/>
      <c r="C7" s="196"/>
      <c r="D7" s="43"/>
      <c r="E7" s="43"/>
      <c r="F7" s="43"/>
      <c r="G7" s="43"/>
      <c r="H7" s="43"/>
      <c r="I7" s="43"/>
      <c r="J7" s="43"/>
      <c r="K7" s="43"/>
      <c r="L7" s="43"/>
      <c r="M7" s="43"/>
      <c r="N7" s="43"/>
      <c r="O7" s="43"/>
      <c r="P7" s="43"/>
      <c r="Q7" s="43"/>
      <c r="R7" s="43"/>
      <c r="S7" s="43"/>
      <c r="T7" s="43"/>
      <c r="U7" s="43"/>
      <c r="V7" s="43"/>
      <c r="W7" s="43"/>
      <c r="X7" s="43"/>
    </row>
    <row r="8">
      <c r="A8" s="194"/>
      <c r="B8" s="195"/>
      <c r="C8" s="196"/>
      <c r="D8" s="43"/>
      <c r="E8" s="43"/>
      <c r="F8" s="43"/>
      <c r="G8" s="43"/>
      <c r="H8" s="43"/>
      <c r="I8" s="43"/>
      <c r="J8" s="43"/>
      <c r="K8" s="43"/>
      <c r="L8" s="43"/>
      <c r="M8" s="43"/>
      <c r="N8" s="43"/>
      <c r="O8" s="43"/>
      <c r="P8" s="43"/>
      <c r="Q8" s="43"/>
      <c r="R8" s="43"/>
      <c r="S8" s="43"/>
      <c r="T8" s="43"/>
      <c r="U8" s="43"/>
      <c r="V8" s="43"/>
      <c r="W8" s="43"/>
      <c r="X8" s="43"/>
    </row>
    <row r="9">
      <c r="A9" s="194"/>
      <c r="B9" s="195"/>
      <c r="C9" s="196"/>
      <c r="D9" s="43"/>
      <c r="E9" s="43"/>
      <c r="F9" s="43"/>
      <c r="G9" s="43"/>
      <c r="H9" s="43"/>
      <c r="I9" s="43"/>
      <c r="J9" s="43"/>
      <c r="K9" s="43"/>
      <c r="L9" s="43"/>
      <c r="M9" s="43"/>
      <c r="N9" s="43"/>
      <c r="O9" s="43"/>
      <c r="P9" s="43"/>
      <c r="Q9" s="43"/>
      <c r="R9" s="43"/>
      <c r="S9" s="43"/>
      <c r="T9" s="43"/>
      <c r="U9" s="43"/>
      <c r="V9" s="43"/>
      <c r="W9" s="43"/>
      <c r="X9" s="43"/>
    </row>
    <row r="10">
      <c r="A10" s="194"/>
      <c r="B10" s="195"/>
      <c r="C10" s="196"/>
      <c r="D10" s="43"/>
      <c r="E10" s="43"/>
      <c r="F10" s="43"/>
      <c r="G10" s="43"/>
      <c r="H10" s="43"/>
      <c r="I10" s="43"/>
      <c r="J10" s="43"/>
      <c r="K10" s="43"/>
      <c r="L10" s="43"/>
      <c r="M10" s="43"/>
      <c r="N10" s="43"/>
      <c r="O10" s="43"/>
      <c r="P10" s="43"/>
      <c r="Q10" s="43"/>
      <c r="R10" s="43"/>
      <c r="S10" s="43"/>
      <c r="T10" s="43"/>
      <c r="U10" s="43"/>
      <c r="V10" s="43"/>
      <c r="W10" s="43"/>
      <c r="X10" s="43"/>
    </row>
    <row r="11">
      <c r="A11" s="194"/>
      <c r="B11" s="195"/>
      <c r="C11" s="196"/>
      <c r="D11" s="43"/>
      <c r="E11" s="43"/>
      <c r="F11" s="43"/>
      <c r="G11" s="43"/>
      <c r="H11" s="43"/>
      <c r="I11" s="43"/>
      <c r="J11" s="43"/>
      <c r="K11" s="43"/>
      <c r="L11" s="43"/>
      <c r="M11" s="43"/>
      <c r="N11" s="43"/>
      <c r="O11" s="43"/>
      <c r="P11" s="43"/>
      <c r="Q11" s="43"/>
      <c r="R11" s="43"/>
      <c r="S11" s="43"/>
      <c r="T11" s="43"/>
      <c r="U11" s="43"/>
      <c r="V11" s="43"/>
      <c r="W11" s="43"/>
      <c r="X11" s="43"/>
    </row>
    <row r="12">
      <c r="A12" s="194"/>
      <c r="B12" s="195"/>
      <c r="C12" s="196"/>
      <c r="D12" s="43"/>
      <c r="E12" s="43"/>
      <c r="F12" s="43"/>
      <c r="G12" s="43"/>
      <c r="H12" s="43"/>
      <c r="I12" s="43"/>
      <c r="J12" s="43"/>
      <c r="K12" s="43"/>
      <c r="L12" s="43"/>
      <c r="M12" s="43"/>
      <c r="N12" s="43"/>
      <c r="O12" s="43"/>
      <c r="P12" s="43"/>
      <c r="Q12" s="43"/>
      <c r="R12" s="43"/>
      <c r="S12" s="43"/>
      <c r="T12" s="43"/>
      <c r="U12" s="43"/>
      <c r="V12" s="43"/>
      <c r="W12" s="43"/>
      <c r="X12" s="43"/>
    </row>
    <row r="13">
      <c r="A13" s="194"/>
      <c r="B13" s="195"/>
      <c r="C13" s="196"/>
      <c r="D13" s="43"/>
      <c r="E13" s="43"/>
      <c r="F13" s="43"/>
      <c r="G13" s="43"/>
      <c r="H13" s="43"/>
      <c r="I13" s="43"/>
      <c r="J13" s="43"/>
      <c r="K13" s="43"/>
      <c r="L13" s="43"/>
      <c r="M13" s="43"/>
      <c r="N13" s="43"/>
      <c r="O13" s="43"/>
      <c r="P13" s="43"/>
      <c r="Q13" s="43"/>
      <c r="R13" s="43"/>
      <c r="S13" s="43"/>
      <c r="T13" s="43"/>
      <c r="U13" s="43"/>
      <c r="V13" s="43"/>
      <c r="W13" s="43"/>
      <c r="X13" s="43"/>
    </row>
    <row r="14" ht="15.75" customHeight="1">
      <c r="A14" s="187"/>
      <c r="B14" s="197"/>
      <c r="C14" s="198"/>
    </row>
    <row r="15" ht="30.75" customHeight="1">
      <c r="A15" s="190"/>
      <c r="B15" s="199" t="s">
        <v>15</v>
      </c>
      <c r="C15" s="31"/>
      <c r="D15" s="192"/>
      <c r="E15" s="192"/>
      <c r="F15" s="192"/>
      <c r="G15" s="192"/>
      <c r="H15" s="192"/>
      <c r="I15" s="192"/>
      <c r="J15" s="192"/>
      <c r="K15" s="192"/>
      <c r="L15" s="192"/>
      <c r="M15" s="192"/>
      <c r="N15" s="192"/>
      <c r="O15" s="192"/>
      <c r="P15" s="192"/>
      <c r="Q15" s="192"/>
      <c r="R15" s="192"/>
      <c r="S15" s="192"/>
      <c r="T15" s="192"/>
      <c r="U15" s="192"/>
      <c r="V15" s="192"/>
      <c r="W15" s="192"/>
      <c r="X15" s="192"/>
    </row>
    <row r="16">
      <c r="A16" s="194"/>
      <c r="B16" s="200" t="s">
        <v>2147</v>
      </c>
      <c r="C16" s="196" t="s">
        <v>65</v>
      </c>
      <c r="D16" s="43"/>
      <c r="E16" s="43"/>
      <c r="F16" s="43"/>
      <c r="G16" s="43"/>
      <c r="H16" s="43"/>
      <c r="I16" s="43"/>
      <c r="J16" s="43"/>
      <c r="K16" s="43"/>
      <c r="L16" s="43"/>
      <c r="M16" s="43"/>
      <c r="N16" s="43"/>
      <c r="O16" s="43"/>
      <c r="P16" s="43"/>
      <c r="Q16" s="43"/>
      <c r="R16" s="43"/>
      <c r="S16" s="43"/>
      <c r="T16" s="43"/>
      <c r="U16" s="43"/>
      <c r="V16" s="43"/>
      <c r="W16" s="43"/>
      <c r="X16" s="43"/>
    </row>
    <row r="17">
      <c r="A17" s="194"/>
      <c r="B17" s="200" t="s">
        <v>2148</v>
      </c>
      <c r="C17" s="201" t="s">
        <v>91</v>
      </c>
      <c r="D17" s="43"/>
      <c r="E17" s="43"/>
      <c r="F17" s="43"/>
      <c r="G17" s="43"/>
      <c r="H17" s="43"/>
      <c r="I17" s="43"/>
      <c r="J17" s="43"/>
      <c r="K17" s="43"/>
      <c r="L17" s="43"/>
      <c r="M17" s="43"/>
      <c r="N17" s="43"/>
      <c r="O17" s="43"/>
      <c r="P17" s="43"/>
      <c r="Q17" s="43"/>
      <c r="R17" s="43"/>
      <c r="S17" s="43"/>
      <c r="T17" s="43"/>
      <c r="U17" s="43"/>
      <c r="V17" s="43"/>
      <c r="W17" s="43"/>
      <c r="X17" s="43"/>
    </row>
    <row r="18">
      <c r="A18" s="194"/>
      <c r="B18" s="200" t="s">
        <v>2149</v>
      </c>
      <c r="C18" s="201" t="s">
        <v>161</v>
      </c>
      <c r="D18" s="43"/>
      <c r="E18" s="43"/>
      <c r="F18" s="43"/>
      <c r="G18" s="43"/>
      <c r="H18" s="43"/>
      <c r="I18" s="43"/>
      <c r="J18" s="43"/>
      <c r="K18" s="43"/>
      <c r="L18" s="43"/>
      <c r="M18" s="43"/>
      <c r="N18" s="43"/>
      <c r="O18" s="43"/>
      <c r="P18" s="43"/>
      <c r="Q18" s="43"/>
      <c r="R18" s="43"/>
      <c r="S18" s="43"/>
      <c r="T18" s="43"/>
      <c r="U18" s="43"/>
      <c r="V18" s="43"/>
      <c r="W18" s="43"/>
      <c r="X18" s="43"/>
    </row>
    <row r="19">
      <c r="A19" s="194"/>
      <c r="B19" s="200" t="s">
        <v>2150</v>
      </c>
      <c r="C19" s="201" t="s">
        <v>67</v>
      </c>
      <c r="D19" s="43"/>
      <c r="E19" s="43"/>
      <c r="F19" s="43"/>
      <c r="G19" s="43"/>
      <c r="H19" s="43"/>
      <c r="I19" s="43"/>
      <c r="J19" s="43"/>
      <c r="K19" s="43"/>
      <c r="L19" s="43"/>
      <c r="M19" s="43"/>
      <c r="N19" s="43"/>
      <c r="O19" s="43"/>
      <c r="P19" s="43"/>
      <c r="Q19" s="43"/>
      <c r="R19" s="43"/>
      <c r="S19" s="43"/>
      <c r="T19" s="43"/>
      <c r="U19" s="43"/>
      <c r="V19" s="43"/>
      <c r="W19" s="43"/>
      <c r="X19" s="43"/>
    </row>
    <row r="20" ht="15.75" customHeight="1">
      <c r="A20" s="202"/>
      <c r="B20" s="203"/>
      <c r="C20" s="204"/>
    </row>
    <row r="21" ht="15.75" customHeight="1">
      <c r="A21" s="202"/>
      <c r="B21" s="203"/>
      <c r="C21" s="204"/>
    </row>
    <row r="22" ht="15.75" customHeight="1">
      <c r="A22" s="202"/>
      <c r="B22" s="203"/>
      <c r="C22" s="204"/>
    </row>
    <row r="23" ht="15.75" customHeight="1">
      <c r="A23" s="202"/>
      <c r="B23" s="203"/>
      <c r="C23" s="204"/>
    </row>
    <row r="24" ht="15.75" customHeight="1">
      <c r="A24" s="202"/>
      <c r="B24" s="203"/>
      <c r="C24" s="204"/>
    </row>
    <row r="25" ht="15.75" customHeight="1">
      <c r="A25" s="202"/>
      <c r="B25" s="203"/>
      <c r="C25" s="204"/>
    </row>
    <row r="26" ht="15.75" customHeight="1">
      <c r="A26" s="202"/>
      <c r="B26" s="203"/>
      <c r="C26" s="204"/>
    </row>
    <row r="27" ht="15.75" customHeight="1">
      <c r="A27" s="202"/>
      <c r="B27" s="203"/>
      <c r="C27" s="204"/>
    </row>
    <row r="28" ht="15.75" customHeight="1">
      <c r="A28" s="202"/>
      <c r="B28" s="203"/>
      <c r="C28" s="204"/>
    </row>
    <row r="29" ht="15.75" customHeight="1">
      <c r="A29" s="202"/>
      <c r="B29" s="203"/>
      <c r="C29" s="204"/>
    </row>
    <row r="30" ht="15.75" customHeight="1">
      <c r="A30" s="202"/>
      <c r="B30" s="203"/>
      <c r="C30" s="204"/>
    </row>
    <row r="31" ht="15.75" customHeight="1">
      <c r="A31" s="202"/>
      <c r="B31" s="203"/>
      <c r="C31" s="204"/>
    </row>
    <row r="32" ht="15.75" customHeight="1">
      <c r="A32" s="202"/>
      <c r="B32" s="203"/>
      <c r="C32" s="204"/>
    </row>
    <row r="33" ht="15.75" customHeight="1">
      <c r="A33" s="202"/>
      <c r="B33" s="203"/>
      <c r="C33" s="204"/>
    </row>
    <row r="34" ht="15.75" customHeight="1">
      <c r="A34" s="202"/>
      <c r="B34" s="203"/>
      <c r="C34" s="204"/>
    </row>
    <row r="35" ht="15.75" customHeight="1">
      <c r="A35" s="202"/>
      <c r="B35" s="203"/>
      <c r="C35" s="204"/>
    </row>
    <row r="36" ht="15.75" customHeight="1">
      <c r="A36" s="202"/>
      <c r="B36" s="203"/>
      <c r="C36" s="204"/>
    </row>
    <row r="37" ht="15.75" customHeight="1">
      <c r="A37" s="202"/>
      <c r="B37" s="203"/>
      <c r="C37" s="204"/>
    </row>
    <row r="38" ht="15.75" customHeight="1">
      <c r="A38" s="202"/>
      <c r="B38" s="203"/>
      <c r="C38" s="204"/>
    </row>
    <row r="39" ht="15.75" customHeight="1">
      <c r="A39" s="202"/>
      <c r="B39" s="203"/>
      <c r="C39" s="204"/>
    </row>
    <row r="40" ht="15.75" customHeight="1">
      <c r="A40" s="202"/>
      <c r="B40" s="203"/>
      <c r="C40" s="204"/>
    </row>
    <row r="41" ht="15.75" customHeight="1">
      <c r="A41" s="202"/>
      <c r="B41" s="203"/>
      <c r="C41" s="204"/>
    </row>
    <row r="42" ht="15.75" customHeight="1">
      <c r="A42" s="202"/>
      <c r="B42" s="203"/>
      <c r="C42" s="204"/>
    </row>
    <row r="43" ht="15.75" customHeight="1">
      <c r="A43" s="202"/>
      <c r="B43" s="203"/>
      <c r="C43" s="204"/>
    </row>
    <row r="44" ht="15.75" customHeight="1">
      <c r="A44" s="202"/>
      <c r="B44" s="203"/>
      <c r="C44" s="204"/>
    </row>
    <row r="45" ht="15.75" customHeight="1">
      <c r="A45" s="202"/>
      <c r="B45" s="203"/>
      <c r="C45" s="204"/>
    </row>
    <row r="46" ht="15.75" customHeight="1">
      <c r="A46" s="202"/>
      <c r="B46" s="203"/>
      <c r="C46" s="204"/>
    </row>
    <row r="47" ht="15.75" customHeight="1">
      <c r="A47" s="202"/>
      <c r="B47" s="203"/>
      <c r="C47" s="204"/>
    </row>
    <row r="48" ht="15.75" customHeight="1">
      <c r="A48" s="202"/>
      <c r="B48" s="203"/>
      <c r="C48" s="204"/>
    </row>
    <row r="49" ht="15.75" customHeight="1">
      <c r="A49" s="202"/>
      <c r="B49" s="203"/>
      <c r="C49" s="204"/>
    </row>
    <row r="50" ht="15.75" customHeight="1">
      <c r="A50" s="202"/>
      <c r="B50" s="203"/>
      <c r="C50" s="204"/>
    </row>
    <row r="51" ht="15.75" customHeight="1">
      <c r="A51" s="202"/>
      <c r="B51" s="203"/>
      <c r="C51" s="204"/>
    </row>
    <row r="52" ht="15.75" customHeight="1">
      <c r="A52" s="202"/>
      <c r="B52" s="203"/>
      <c r="C52" s="204"/>
    </row>
    <row r="53" ht="15.75" customHeight="1">
      <c r="A53" s="202"/>
      <c r="B53" s="203"/>
      <c r="C53" s="204"/>
    </row>
    <row r="54" ht="15.75" customHeight="1">
      <c r="A54" s="202"/>
      <c r="B54" s="203"/>
      <c r="C54" s="204"/>
    </row>
    <row r="55" ht="15.75" customHeight="1">
      <c r="A55" s="202"/>
      <c r="B55" s="203"/>
      <c r="C55" s="204"/>
    </row>
    <row r="56" ht="15.75" customHeight="1">
      <c r="A56" s="202"/>
      <c r="B56" s="203"/>
      <c r="C56" s="204"/>
    </row>
    <row r="57" ht="15.75" customHeight="1">
      <c r="A57" s="202"/>
      <c r="B57" s="203"/>
      <c r="C57" s="204"/>
    </row>
    <row r="58" ht="15.75" customHeight="1">
      <c r="A58" s="202"/>
      <c r="B58" s="203"/>
      <c r="C58" s="204"/>
    </row>
    <row r="59" ht="15.75" customHeight="1">
      <c r="A59" s="202"/>
      <c r="B59" s="203"/>
      <c r="C59" s="204"/>
    </row>
    <row r="60" ht="15.75" customHeight="1">
      <c r="A60" s="202"/>
      <c r="B60" s="203"/>
      <c r="C60" s="204"/>
    </row>
    <row r="61" ht="15.75" customHeight="1">
      <c r="A61" s="202"/>
      <c r="B61" s="203"/>
      <c r="C61" s="204"/>
    </row>
    <row r="62" ht="15.75" customHeight="1">
      <c r="A62" s="202"/>
      <c r="B62" s="203"/>
      <c r="C62" s="204"/>
    </row>
    <row r="63" ht="15.75" customHeight="1">
      <c r="A63" s="202"/>
      <c r="B63" s="203"/>
      <c r="C63" s="204"/>
    </row>
    <row r="64" ht="15.75" customHeight="1">
      <c r="A64" s="202"/>
      <c r="B64" s="203"/>
      <c r="C64" s="204"/>
    </row>
    <row r="65" ht="15.75" customHeight="1">
      <c r="A65" s="202"/>
      <c r="B65" s="203"/>
      <c r="C65" s="204"/>
    </row>
    <row r="66" ht="15.75" customHeight="1">
      <c r="A66" s="202"/>
      <c r="B66" s="203"/>
      <c r="C66" s="204"/>
    </row>
    <row r="67" ht="15.75" customHeight="1">
      <c r="A67" s="202"/>
      <c r="B67" s="203"/>
      <c r="C67" s="204"/>
    </row>
    <row r="68" ht="15.75" customHeight="1">
      <c r="A68" s="202"/>
      <c r="B68" s="203"/>
      <c r="C68" s="204"/>
    </row>
    <row r="69" ht="15.75" customHeight="1">
      <c r="A69" s="202"/>
      <c r="B69" s="203"/>
      <c r="C69" s="204"/>
    </row>
    <row r="70" ht="15.75" customHeight="1">
      <c r="A70" s="202"/>
      <c r="B70" s="203"/>
      <c r="C70" s="204"/>
    </row>
    <row r="71" ht="15.75" customHeight="1">
      <c r="A71" s="202"/>
      <c r="B71" s="203"/>
      <c r="C71" s="204"/>
    </row>
    <row r="72" ht="15.75" customHeight="1">
      <c r="A72" s="202"/>
      <c r="B72" s="203"/>
      <c r="C72" s="204"/>
    </row>
    <row r="73" ht="15.75" customHeight="1">
      <c r="A73" s="202"/>
      <c r="B73" s="203"/>
      <c r="C73" s="204"/>
    </row>
    <row r="74" ht="15.75" customHeight="1">
      <c r="A74" s="202"/>
      <c r="B74" s="203"/>
      <c r="C74" s="204"/>
    </row>
    <row r="75" ht="15.75" customHeight="1">
      <c r="A75" s="202"/>
      <c r="B75" s="203"/>
      <c r="C75" s="204"/>
    </row>
    <row r="76" ht="15.75" customHeight="1">
      <c r="A76" s="202"/>
      <c r="B76" s="203"/>
      <c r="C76" s="204"/>
    </row>
    <row r="77" ht="15.75" customHeight="1">
      <c r="A77" s="202"/>
      <c r="B77" s="203"/>
      <c r="C77" s="204"/>
    </row>
    <row r="78" ht="15.75" customHeight="1">
      <c r="A78" s="202"/>
      <c r="B78" s="203"/>
      <c r="C78" s="204"/>
    </row>
    <row r="79" ht="15.75" customHeight="1">
      <c r="A79" s="202"/>
      <c r="B79" s="203"/>
      <c r="C79" s="204"/>
    </row>
    <row r="80" ht="15.75" customHeight="1">
      <c r="A80" s="202"/>
      <c r="B80" s="203"/>
      <c r="C80" s="204"/>
    </row>
    <row r="81" ht="15.75" customHeight="1">
      <c r="A81" s="202"/>
      <c r="B81" s="203"/>
      <c r="C81" s="204"/>
    </row>
    <row r="82" ht="15.75" customHeight="1">
      <c r="A82" s="202"/>
      <c r="B82" s="203"/>
      <c r="C82" s="204"/>
    </row>
    <row r="83" ht="15.75" customHeight="1">
      <c r="A83" s="202"/>
      <c r="B83" s="203"/>
      <c r="C83" s="204"/>
    </row>
    <row r="84" ht="15.75" customHeight="1">
      <c r="A84" s="202"/>
      <c r="B84" s="203"/>
      <c r="C84" s="204"/>
    </row>
    <row r="85" ht="15.75" customHeight="1">
      <c r="A85" s="202"/>
      <c r="B85" s="203"/>
      <c r="C85" s="204"/>
    </row>
    <row r="86" ht="15.75" customHeight="1">
      <c r="A86" s="202"/>
      <c r="B86" s="203"/>
      <c r="C86" s="204"/>
    </row>
    <row r="87" ht="15.75" customHeight="1">
      <c r="A87" s="202"/>
      <c r="B87" s="203"/>
      <c r="C87" s="204"/>
    </row>
    <row r="88" ht="15.75" customHeight="1">
      <c r="A88" s="202"/>
      <c r="B88" s="203"/>
      <c r="C88" s="204"/>
    </row>
    <row r="89" ht="15.75" customHeight="1">
      <c r="A89" s="202"/>
      <c r="B89" s="203"/>
      <c r="C89" s="204"/>
    </row>
    <row r="90" ht="15.75" customHeight="1">
      <c r="A90" s="202"/>
      <c r="B90" s="203"/>
      <c r="C90" s="204"/>
    </row>
    <row r="91" ht="15.75" customHeight="1">
      <c r="A91" s="202"/>
      <c r="B91" s="203"/>
      <c r="C91" s="204"/>
    </row>
    <row r="92" ht="15.75" customHeight="1">
      <c r="A92" s="202"/>
      <c r="B92" s="203"/>
      <c r="C92" s="204"/>
    </row>
    <row r="93" ht="15.75" customHeight="1">
      <c r="A93" s="202"/>
      <c r="B93" s="203"/>
      <c r="C93" s="204"/>
    </row>
    <row r="94" ht="15.75" customHeight="1">
      <c r="A94" s="202"/>
      <c r="B94" s="203"/>
      <c r="C94" s="204"/>
    </row>
    <row r="95" ht="15.75" customHeight="1">
      <c r="A95" s="202"/>
      <c r="B95" s="203"/>
      <c r="C95" s="204"/>
    </row>
    <row r="96" ht="15.75" customHeight="1">
      <c r="A96" s="202"/>
      <c r="B96" s="203"/>
      <c r="C96" s="204"/>
    </row>
    <row r="97" ht="15.75" customHeight="1">
      <c r="A97" s="202"/>
      <c r="B97" s="203"/>
      <c r="C97" s="204"/>
    </row>
    <row r="98" ht="15.75" customHeight="1">
      <c r="A98" s="202"/>
      <c r="B98" s="203"/>
      <c r="C98" s="204"/>
    </row>
    <row r="99" ht="15.75" customHeight="1">
      <c r="A99" s="202"/>
      <c r="B99" s="203"/>
      <c r="C99" s="204"/>
    </row>
    <row r="100" ht="15.75" customHeight="1">
      <c r="A100" s="202"/>
      <c r="B100" s="203"/>
      <c r="C100" s="204"/>
    </row>
    <row r="101" ht="15.75" customHeight="1">
      <c r="A101" s="202"/>
      <c r="B101" s="203"/>
      <c r="C101" s="204"/>
    </row>
    <row r="102" ht="15.75" customHeight="1">
      <c r="A102" s="202"/>
      <c r="B102" s="203"/>
      <c r="C102" s="204"/>
    </row>
    <row r="103" ht="15.75" customHeight="1">
      <c r="A103" s="202"/>
      <c r="B103" s="203"/>
      <c r="C103" s="204"/>
    </row>
    <row r="104" ht="15.75" customHeight="1">
      <c r="A104" s="202"/>
      <c r="B104" s="203"/>
      <c r="C104" s="204"/>
    </row>
    <row r="105" ht="15.75" customHeight="1">
      <c r="A105" s="202"/>
      <c r="B105" s="203"/>
      <c r="C105" s="204"/>
    </row>
    <row r="106" ht="15.75" customHeight="1">
      <c r="A106" s="202"/>
      <c r="B106" s="203"/>
      <c r="C106" s="204"/>
    </row>
    <row r="107" ht="15.75" customHeight="1">
      <c r="A107" s="202"/>
      <c r="B107" s="203"/>
      <c r="C107" s="204"/>
    </row>
    <row r="108" ht="15.75" customHeight="1">
      <c r="A108" s="202"/>
      <c r="B108" s="203"/>
      <c r="C108" s="204"/>
    </row>
    <row r="109" ht="15.75" customHeight="1">
      <c r="A109" s="202"/>
      <c r="B109" s="203"/>
      <c r="C109" s="204"/>
    </row>
    <row r="110" ht="15.75" customHeight="1">
      <c r="A110" s="202"/>
      <c r="B110" s="203"/>
      <c r="C110" s="204"/>
    </row>
    <row r="111" ht="15.75" customHeight="1">
      <c r="A111" s="202"/>
      <c r="B111" s="203"/>
      <c r="C111" s="204"/>
    </row>
    <row r="112" ht="15.75" customHeight="1">
      <c r="A112" s="202"/>
      <c r="B112" s="203"/>
      <c r="C112" s="204"/>
    </row>
    <row r="113" ht="15.75" customHeight="1">
      <c r="A113" s="202"/>
      <c r="B113" s="203"/>
      <c r="C113" s="204"/>
    </row>
    <row r="114" ht="15.75" customHeight="1">
      <c r="A114" s="202"/>
      <c r="B114" s="203"/>
      <c r="C114" s="204"/>
    </row>
    <row r="115" ht="15.75" customHeight="1">
      <c r="A115" s="202"/>
      <c r="B115" s="203"/>
      <c r="C115" s="204"/>
    </row>
    <row r="116" ht="15.75" customHeight="1">
      <c r="A116" s="202"/>
      <c r="B116" s="203"/>
      <c r="C116" s="204"/>
    </row>
    <row r="117" ht="15.75" customHeight="1">
      <c r="A117" s="202"/>
      <c r="B117" s="203"/>
      <c r="C117" s="204"/>
    </row>
    <row r="118" ht="15.75" customHeight="1">
      <c r="A118" s="202"/>
      <c r="B118" s="203"/>
      <c r="C118" s="204"/>
    </row>
    <row r="119" ht="15.75" customHeight="1">
      <c r="A119" s="202"/>
      <c r="B119" s="203"/>
      <c r="C119" s="204"/>
    </row>
    <row r="120" ht="15.75" customHeight="1">
      <c r="A120" s="202"/>
      <c r="B120" s="203"/>
      <c r="C120" s="204"/>
    </row>
    <row r="121" ht="15.75" customHeight="1">
      <c r="A121" s="202"/>
      <c r="B121" s="203"/>
      <c r="C121" s="204"/>
    </row>
    <row r="122" ht="15.75" customHeight="1">
      <c r="A122" s="202"/>
      <c r="B122" s="203"/>
      <c r="C122" s="204"/>
    </row>
    <row r="123" ht="15.75" customHeight="1">
      <c r="A123" s="202"/>
      <c r="B123" s="203"/>
      <c r="C123" s="204"/>
    </row>
    <row r="124" ht="15.75" customHeight="1">
      <c r="A124" s="202"/>
      <c r="B124" s="203"/>
      <c r="C124" s="204"/>
    </row>
    <row r="125" ht="15.75" customHeight="1">
      <c r="A125" s="202"/>
      <c r="B125" s="203"/>
      <c r="C125" s="204"/>
    </row>
    <row r="126" ht="15.75" customHeight="1">
      <c r="A126" s="202"/>
      <c r="B126" s="203"/>
      <c r="C126" s="204"/>
    </row>
    <row r="127" ht="15.75" customHeight="1">
      <c r="A127" s="202"/>
      <c r="B127" s="203"/>
      <c r="C127" s="204"/>
    </row>
    <row r="128" ht="15.75" customHeight="1">
      <c r="A128" s="202"/>
      <c r="B128" s="203"/>
      <c r="C128" s="204"/>
    </row>
    <row r="129" ht="15.75" customHeight="1">
      <c r="A129" s="202"/>
      <c r="B129" s="203"/>
      <c r="C129" s="204"/>
    </row>
    <row r="130" ht="15.75" customHeight="1">
      <c r="A130" s="202"/>
      <c r="B130" s="203"/>
      <c r="C130" s="204"/>
    </row>
    <row r="131" ht="15.75" customHeight="1">
      <c r="A131" s="202"/>
      <c r="B131" s="203"/>
      <c r="C131" s="204"/>
    </row>
    <row r="132" ht="15.75" customHeight="1">
      <c r="A132" s="202"/>
      <c r="B132" s="203"/>
      <c r="C132" s="204"/>
    </row>
    <row r="133" ht="15.75" customHeight="1">
      <c r="A133" s="202"/>
      <c r="B133" s="203"/>
      <c r="C133" s="204"/>
    </row>
    <row r="134" ht="15.75" customHeight="1">
      <c r="A134" s="202"/>
      <c r="B134" s="203"/>
      <c r="C134" s="204"/>
    </row>
    <row r="135" ht="15.75" customHeight="1">
      <c r="A135" s="202"/>
      <c r="B135" s="203"/>
      <c r="C135" s="204"/>
    </row>
    <row r="136" ht="15.75" customHeight="1">
      <c r="A136" s="202"/>
      <c r="B136" s="203"/>
      <c r="C136" s="204"/>
    </row>
    <row r="137" ht="15.75" customHeight="1">
      <c r="A137" s="202"/>
      <c r="B137" s="203"/>
      <c r="C137" s="204"/>
    </row>
    <row r="138" ht="15.75" customHeight="1">
      <c r="A138" s="202"/>
      <c r="B138" s="203"/>
      <c r="C138" s="204"/>
    </row>
    <row r="139" ht="15.75" customHeight="1">
      <c r="A139" s="202"/>
      <c r="B139" s="203"/>
      <c r="C139" s="204"/>
    </row>
    <row r="140" ht="15.75" customHeight="1">
      <c r="A140" s="202"/>
      <c r="B140" s="203"/>
      <c r="C140" s="204"/>
    </row>
    <row r="141" ht="15.75" customHeight="1">
      <c r="A141" s="202"/>
      <c r="B141" s="203"/>
      <c r="C141" s="204"/>
    </row>
    <row r="142" ht="15.75" customHeight="1">
      <c r="A142" s="202"/>
      <c r="B142" s="203"/>
      <c r="C142" s="204"/>
    </row>
    <row r="143" ht="15.75" customHeight="1">
      <c r="A143" s="202"/>
      <c r="B143" s="203"/>
      <c r="C143" s="204"/>
    </row>
    <row r="144" ht="15.75" customHeight="1">
      <c r="A144" s="202"/>
      <c r="B144" s="203"/>
      <c r="C144" s="204"/>
    </row>
    <row r="145" ht="15.75" customHeight="1">
      <c r="A145" s="202"/>
      <c r="B145" s="203"/>
      <c r="C145" s="204"/>
    </row>
    <row r="146" ht="15.75" customHeight="1">
      <c r="A146" s="202"/>
      <c r="B146" s="203"/>
      <c r="C146" s="204"/>
    </row>
    <row r="147" ht="15.75" customHeight="1">
      <c r="A147" s="202"/>
      <c r="B147" s="203"/>
      <c r="C147" s="204"/>
    </row>
    <row r="148" ht="15.75" customHeight="1">
      <c r="A148" s="202"/>
      <c r="B148" s="203"/>
      <c r="C148" s="204"/>
    </row>
    <row r="149" ht="15.75" customHeight="1">
      <c r="A149" s="202"/>
      <c r="B149" s="203"/>
      <c r="C149" s="204"/>
    </row>
    <row r="150" ht="15.75" customHeight="1">
      <c r="A150" s="202"/>
      <c r="B150" s="203"/>
      <c r="C150" s="204"/>
    </row>
    <row r="151" ht="15.75" customHeight="1">
      <c r="A151" s="202"/>
      <c r="B151" s="203"/>
      <c r="C151" s="204"/>
    </row>
    <row r="152" ht="15.75" customHeight="1">
      <c r="A152" s="202"/>
      <c r="B152" s="203"/>
      <c r="C152" s="204"/>
    </row>
    <row r="153" ht="15.75" customHeight="1">
      <c r="A153" s="202"/>
      <c r="B153" s="203"/>
      <c r="C153" s="204"/>
    </row>
    <row r="154" ht="15.75" customHeight="1">
      <c r="A154" s="202"/>
      <c r="B154" s="203"/>
      <c r="C154" s="204"/>
    </row>
    <row r="155" ht="15.75" customHeight="1">
      <c r="A155" s="202"/>
      <c r="B155" s="203"/>
      <c r="C155" s="204"/>
    </row>
    <row r="156" ht="15.75" customHeight="1">
      <c r="A156" s="202"/>
      <c r="B156" s="203"/>
      <c r="C156" s="204"/>
    </row>
    <row r="157" ht="15.75" customHeight="1">
      <c r="A157" s="202"/>
      <c r="B157" s="203"/>
      <c r="C157" s="204"/>
    </row>
    <row r="158" ht="15.75" customHeight="1">
      <c r="A158" s="202"/>
      <c r="B158" s="203"/>
      <c r="C158" s="204"/>
    </row>
    <row r="159" ht="15.75" customHeight="1">
      <c r="A159" s="202"/>
      <c r="B159" s="203"/>
      <c r="C159" s="204"/>
    </row>
    <row r="160" ht="15.75" customHeight="1">
      <c r="A160" s="202"/>
      <c r="B160" s="203"/>
      <c r="C160" s="204"/>
    </row>
    <row r="161" ht="15.75" customHeight="1">
      <c r="A161" s="202"/>
      <c r="B161" s="203"/>
      <c r="C161" s="204"/>
    </row>
    <row r="162" ht="15.75" customHeight="1">
      <c r="A162" s="202"/>
      <c r="B162" s="203"/>
      <c r="C162" s="204"/>
    </row>
    <row r="163" ht="15.75" customHeight="1">
      <c r="A163" s="202"/>
      <c r="B163" s="203"/>
      <c r="C163" s="204"/>
    </row>
    <row r="164" ht="15.75" customHeight="1">
      <c r="A164" s="202"/>
      <c r="B164" s="203"/>
      <c r="C164" s="204"/>
    </row>
    <row r="165" ht="15.75" customHeight="1">
      <c r="A165" s="202"/>
      <c r="B165" s="203"/>
      <c r="C165" s="204"/>
    </row>
    <row r="166" ht="15.75" customHeight="1">
      <c r="A166" s="202"/>
      <c r="B166" s="203"/>
      <c r="C166" s="204"/>
    </row>
    <row r="167" ht="15.75" customHeight="1">
      <c r="A167" s="202"/>
      <c r="B167" s="203"/>
      <c r="C167" s="204"/>
    </row>
    <row r="168" ht="15.75" customHeight="1">
      <c r="A168" s="202"/>
      <c r="B168" s="203"/>
      <c r="C168" s="204"/>
    </row>
    <row r="169" ht="15.75" customHeight="1">
      <c r="A169" s="202"/>
      <c r="B169" s="203"/>
      <c r="C169" s="204"/>
    </row>
    <row r="170" ht="15.75" customHeight="1">
      <c r="A170" s="202"/>
      <c r="B170" s="203"/>
      <c r="C170" s="204"/>
    </row>
    <row r="171" ht="15.75" customHeight="1">
      <c r="A171" s="202"/>
      <c r="B171" s="203"/>
      <c r="C171" s="204"/>
    </row>
    <row r="172" ht="15.75" customHeight="1">
      <c r="A172" s="202"/>
      <c r="B172" s="203"/>
      <c r="C172" s="204"/>
    </row>
    <row r="173" ht="15.75" customHeight="1">
      <c r="A173" s="202"/>
      <c r="B173" s="203"/>
      <c r="C173" s="204"/>
    </row>
    <row r="174" ht="15.75" customHeight="1">
      <c r="A174" s="202"/>
      <c r="B174" s="203"/>
      <c r="C174" s="204"/>
    </row>
    <row r="175" ht="15.75" customHeight="1">
      <c r="A175" s="202"/>
      <c r="B175" s="203"/>
      <c r="C175" s="204"/>
    </row>
    <row r="176" ht="15.75" customHeight="1">
      <c r="A176" s="202"/>
      <c r="B176" s="203"/>
      <c r="C176" s="204"/>
    </row>
    <row r="177" ht="15.75" customHeight="1">
      <c r="A177" s="202"/>
      <c r="B177" s="203"/>
      <c r="C177" s="204"/>
    </row>
    <row r="178" ht="15.75" customHeight="1">
      <c r="A178" s="202"/>
      <c r="B178" s="203"/>
      <c r="C178" s="204"/>
    </row>
    <row r="179" ht="15.75" customHeight="1">
      <c r="A179" s="202"/>
      <c r="B179" s="203"/>
      <c r="C179" s="204"/>
    </row>
    <row r="180" ht="15.75" customHeight="1">
      <c r="A180" s="202"/>
      <c r="B180" s="203"/>
      <c r="C180" s="204"/>
    </row>
    <row r="181" ht="15.75" customHeight="1">
      <c r="A181" s="202"/>
      <c r="B181" s="203"/>
      <c r="C181" s="204"/>
    </row>
    <row r="182" ht="15.75" customHeight="1">
      <c r="A182" s="202"/>
      <c r="B182" s="203"/>
      <c r="C182" s="204"/>
    </row>
    <row r="183" ht="15.75" customHeight="1">
      <c r="A183" s="202"/>
      <c r="B183" s="203"/>
      <c r="C183" s="204"/>
    </row>
    <row r="184" ht="15.75" customHeight="1">
      <c r="A184" s="202"/>
      <c r="B184" s="203"/>
      <c r="C184" s="204"/>
    </row>
    <row r="185" ht="15.75" customHeight="1">
      <c r="A185" s="202"/>
      <c r="B185" s="203"/>
      <c r="C185" s="204"/>
    </row>
    <row r="186" ht="15.75" customHeight="1">
      <c r="A186" s="202"/>
      <c r="B186" s="203"/>
      <c r="C186" s="204"/>
    </row>
    <row r="187" ht="15.75" customHeight="1">
      <c r="A187" s="202"/>
      <c r="B187" s="203"/>
      <c r="C187" s="204"/>
    </row>
    <row r="188" ht="15.75" customHeight="1">
      <c r="A188" s="202"/>
      <c r="B188" s="203"/>
      <c r="C188" s="204"/>
    </row>
    <row r="189" ht="15.75" customHeight="1">
      <c r="A189" s="202"/>
      <c r="B189" s="203"/>
      <c r="C189" s="204"/>
    </row>
    <row r="190" ht="15.75" customHeight="1">
      <c r="A190" s="202"/>
      <c r="B190" s="203"/>
      <c r="C190" s="204"/>
    </row>
    <row r="191" ht="15.75" customHeight="1">
      <c r="A191" s="202"/>
      <c r="B191" s="203"/>
      <c r="C191" s="204"/>
    </row>
    <row r="192" ht="15.75" customHeight="1">
      <c r="A192" s="202"/>
      <c r="B192" s="203"/>
      <c r="C192" s="204"/>
    </row>
    <row r="193" ht="15.75" customHeight="1">
      <c r="A193" s="202"/>
      <c r="B193" s="203"/>
      <c r="C193" s="204"/>
    </row>
    <row r="194" ht="15.75" customHeight="1">
      <c r="A194" s="202"/>
      <c r="B194" s="203"/>
      <c r="C194" s="204"/>
    </row>
    <row r="195" ht="15.75" customHeight="1">
      <c r="A195" s="202"/>
      <c r="B195" s="203"/>
      <c r="C195" s="204"/>
    </row>
    <row r="196" ht="15.75" customHeight="1">
      <c r="A196" s="202"/>
      <c r="B196" s="203"/>
      <c r="C196" s="204"/>
    </row>
    <row r="197" ht="15.75" customHeight="1">
      <c r="A197" s="202"/>
      <c r="B197" s="203"/>
      <c r="C197" s="204"/>
    </row>
    <row r="198" ht="15.75" customHeight="1">
      <c r="A198" s="202"/>
      <c r="B198" s="203"/>
      <c r="C198" s="204"/>
    </row>
    <row r="199" ht="15.75" customHeight="1">
      <c r="A199" s="202"/>
      <c r="B199" s="203"/>
      <c r="C199" s="204"/>
    </row>
    <row r="200" ht="15.75" customHeight="1">
      <c r="A200" s="202"/>
      <c r="B200" s="203"/>
      <c r="C200" s="204"/>
    </row>
    <row r="201" ht="15.75" customHeight="1">
      <c r="A201" s="202"/>
      <c r="B201" s="203"/>
      <c r="C201" s="204"/>
    </row>
    <row r="202" ht="15.75" customHeight="1">
      <c r="A202" s="202"/>
      <c r="B202" s="203"/>
      <c r="C202" s="204"/>
    </row>
    <row r="203" ht="15.75" customHeight="1">
      <c r="A203" s="202"/>
      <c r="B203" s="203"/>
      <c r="C203" s="204"/>
    </row>
    <row r="204" ht="15.75" customHeight="1">
      <c r="A204" s="202"/>
      <c r="B204" s="203"/>
      <c r="C204" s="204"/>
    </row>
    <row r="205" ht="15.75" customHeight="1">
      <c r="A205" s="202"/>
      <c r="B205" s="203"/>
      <c r="C205" s="204"/>
    </row>
    <row r="206" ht="15.75" customHeight="1">
      <c r="A206" s="202"/>
      <c r="B206" s="203"/>
      <c r="C206" s="204"/>
    </row>
    <row r="207" ht="15.75" customHeight="1">
      <c r="A207" s="202"/>
      <c r="B207" s="203"/>
      <c r="C207" s="204"/>
    </row>
    <row r="208" ht="15.75" customHeight="1">
      <c r="A208" s="202"/>
      <c r="B208" s="203"/>
      <c r="C208" s="204"/>
    </row>
    <row r="209" ht="15.75" customHeight="1">
      <c r="A209" s="202"/>
      <c r="B209" s="203"/>
      <c r="C209" s="204"/>
    </row>
    <row r="210" ht="15.75" customHeight="1">
      <c r="A210" s="202"/>
      <c r="B210" s="203"/>
      <c r="C210" s="204"/>
    </row>
    <row r="211" ht="15.75" customHeight="1">
      <c r="A211" s="202"/>
      <c r="B211" s="203"/>
      <c r="C211" s="204"/>
    </row>
    <row r="212" ht="15.75" customHeight="1">
      <c r="A212" s="202"/>
      <c r="B212" s="203"/>
      <c r="C212" s="204"/>
    </row>
    <row r="213" ht="15.75" customHeight="1">
      <c r="A213" s="202"/>
      <c r="B213" s="203"/>
      <c r="C213" s="204"/>
    </row>
    <row r="214" ht="15.75" customHeight="1">
      <c r="A214" s="202"/>
      <c r="B214" s="203"/>
      <c r="C214" s="204"/>
    </row>
    <row r="215" ht="15.75" customHeight="1">
      <c r="A215" s="202"/>
      <c r="B215" s="203"/>
      <c r="C215" s="204"/>
    </row>
    <row r="216" ht="15.75" customHeight="1">
      <c r="A216" s="202"/>
      <c r="B216" s="203"/>
      <c r="C216" s="204"/>
    </row>
    <row r="217" ht="15.75" customHeight="1">
      <c r="A217" s="202"/>
      <c r="B217" s="203"/>
      <c r="C217" s="204"/>
    </row>
    <row r="218" ht="15.75" customHeight="1">
      <c r="A218" s="202"/>
      <c r="B218" s="203"/>
      <c r="C218" s="204"/>
    </row>
    <row r="219" ht="15.75" customHeight="1">
      <c r="A219" s="202"/>
      <c r="B219" s="203"/>
      <c r="C219" s="204"/>
    </row>
    <row r="220" ht="15.75" customHeight="1">
      <c r="A220" s="202"/>
      <c r="B220" s="203"/>
      <c r="C220" s="20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15:C15"/>
  </mergeCells>
  <conditionalFormatting sqref="B4:B13">
    <cfRule type="notContainsBlanks" dxfId="2" priority="1">
      <formula>LEN(TRIM(B4))&gt;0</formula>
    </cfRule>
  </conditionalFormatting>
  <dataValidations>
    <dataValidation type="list" allowBlank="1" showErrorMessage="1" sqref="C13">
      <formula1>'FILTRE COMPETÈNCIES'!$C$102:$C$111</formula1>
    </dataValidation>
    <dataValidation type="list" allowBlank="1" showErrorMessage="1" sqref="C6">
      <formula1>'FILTRE COMPETÈNCIES'!$C$25:$C$34</formula1>
    </dataValidation>
    <dataValidation type="list" allowBlank="1" showErrorMessage="1" sqref="C4">
      <formula1>'FILTRE COMPETÈNCIES'!$C$3:$C$12</formula1>
    </dataValidation>
    <dataValidation type="list" allowBlank="1" showErrorMessage="1" sqref="C5">
      <formula1>'FILTRE COMPETÈNCIES'!$C$14:$C$23</formula1>
    </dataValidation>
    <dataValidation type="list" allowBlank="1" showErrorMessage="1" sqref="C10">
      <formula1>'FILTRE COMPETÈNCIES'!$C$69:$C$78</formula1>
    </dataValidation>
    <dataValidation type="list" allowBlank="1" showErrorMessage="1" sqref="C19">
      <formula1>'COMPETÈNCIES OCULT'!$BC$4:$BC$8</formula1>
    </dataValidation>
    <dataValidation type="list" allowBlank="1" showErrorMessage="1" sqref="C12">
      <formula1>'FILTRE COMPETÈNCIES'!$C$91:$C$100</formula1>
    </dataValidation>
    <dataValidation type="list" allowBlank="1" showErrorMessage="1" sqref="C9">
      <formula1>'FILTRE COMPETÈNCIES'!$C$58:$C$67</formula1>
    </dataValidation>
    <dataValidation type="list" allowBlank="1" showErrorMessage="1" sqref="C16">
      <formula1>'COMPETÈNCIES OCULT'!$BA$4:$BA$7</formula1>
    </dataValidation>
    <dataValidation type="list" allowBlank="1" showErrorMessage="1" sqref="B4:B13">
      <formula1>INICI!$C$6:$H$7</formula1>
    </dataValidation>
    <dataValidation type="list" allowBlank="1" showErrorMessage="1" sqref="C8">
      <formula1>'FILTRE COMPETÈNCIES'!$C$47:$C$56</formula1>
    </dataValidation>
    <dataValidation type="list" allowBlank="1" showErrorMessage="1" sqref="C18">
      <formula1>'COMPETÈNCIES OCULT'!$BD$4:$BD$8</formula1>
    </dataValidation>
    <dataValidation type="list" allowBlank="1" showErrorMessage="1" sqref="C7">
      <formula1>'FILTRE COMPETÈNCIES'!$C$36:$C$45</formula1>
    </dataValidation>
    <dataValidation type="list" allowBlank="1" showErrorMessage="1" sqref="C17">
      <formula1>'COMPETÈNCIES OCULT'!$BB$4:$BB$6</formula1>
    </dataValidation>
    <dataValidation type="list" allowBlank="1" showErrorMessage="1" sqref="C11">
      <formula1>'FILTRE COMPETÈNCIES'!$C$80:$C$89</formula1>
    </dataValidation>
  </dataValidations>
  <hyperlinks>
    <hyperlink r:id="rId1" location="page=453" ref="B1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pageSetUpPr fitToPage="1"/>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7" width="37.38"/>
    <col customWidth="1" min="8" max="8" width="44.25"/>
    <col customWidth="1" min="9" max="9" width="41.88"/>
    <col customWidth="1" min="10" max="10" width="48.25"/>
  </cols>
  <sheetData>
    <row r="1" ht="9.0" customHeight="1">
      <c r="A1" s="205"/>
      <c r="B1" s="205"/>
      <c r="C1" s="205"/>
      <c r="D1" s="205"/>
      <c r="E1" s="205"/>
      <c r="F1" s="205"/>
      <c r="G1" s="205"/>
      <c r="H1" s="205"/>
      <c r="I1" s="205"/>
      <c r="J1" s="205"/>
      <c r="K1" s="206"/>
      <c r="L1" s="206"/>
      <c r="M1" s="206"/>
      <c r="N1" s="206"/>
      <c r="O1" s="206"/>
      <c r="P1" s="206"/>
      <c r="Q1" s="206"/>
      <c r="R1" s="206"/>
      <c r="S1" s="206"/>
      <c r="T1" s="206"/>
      <c r="U1" s="206"/>
      <c r="V1" s="206"/>
      <c r="W1" s="206"/>
      <c r="X1" s="206"/>
      <c r="Y1" s="206"/>
      <c r="Z1" s="206"/>
      <c r="AA1" s="206"/>
      <c r="AB1" s="206"/>
      <c r="AC1" s="206"/>
      <c r="AD1" s="206"/>
    </row>
    <row r="2" ht="64.5" customHeight="1">
      <c r="A2" s="205"/>
      <c r="B2" s="207" t="s">
        <v>2151</v>
      </c>
      <c r="C2" s="208" t="s">
        <v>43</v>
      </c>
      <c r="D2" s="208" t="s">
        <v>2152</v>
      </c>
      <c r="E2" s="208" t="s">
        <v>2153</v>
      </c>
      <c r="F2" s="208" t="s">
        <v>2154</v>
      </c>
      <c r="G2" s="209" t="s">
        <v>2155</v>
      </c>
      <c r="H2" s="30"/>
      <c r="I2" s="30"/>
      <c r="J2" s="31"/>
      <c r="K2" s="210"/>
      <c r="L2" s="210"/>
      <c r="M2" s="210"/>
      <c r="N2" s="210"/>
      <c r="O2" s="210"/>
      <c r="P2" s="210"/>
      <c r="Q2" s="210"/>
      <c r="R2" s="210"/>
      <c r="S2" s="210"/>
      <c r="T2" s="210"/>
      <c r="U2" s="210"/>
      <c r="V2" s="210"/>
      <c r="W2" s="210"/>
      <c r="X2" s="210"/>
      <c r="Y2" s="210"/>
      <c r="Z2" s="210"/>
      <c r="AA2" s="210"/>
      <c r="AB2" s="210"/>
      <c r="AC2" s="210"/>
      <c r="AD2" s="210"/>
    </row>
    <row r="3" ht="34.5" customHeight="1">
      <c r="A3" s="205"/>
      <c r="B3" s="55"/>
      <c r="C3" s="55"/>
      <c r="D3" s="55"/>
      <c r="E3" s="55"/>
      <c r="F3" s="55"/>
      <c r="G3" s="211" t="s">
        <v>2156</v>
      </c>
      <c r="H3" s="211" t="s">
        <v>2157</v>
      </c>
      <c r="I3" s="211" t="s">
        <v>2158</v>
      </c>
      <c r="J3" s="211" t="s">
        <v>2159</v>
      </c>
      <c r="K3" s="210"/>
      <c r="L3" s="210"/>
      <c r="M3" s="210"/>
      <c r="N3" s="210"/>
      <c r="O3" s="210"/>
      <c r="P3" s="210"/>
      <c r="Q3" s="210"/>
      <c r="R3" s="210"/>
      <c r="S3" s="210"/>
      <c r="T3" s="210"/>
      <c r="U3" s="210"/>
      <c r="V3" s="210"/>
      <c r="W3" s="210"/>
      <c r="X3" s="210"/>
      <c r="Y3" s="210"/>
      <c r="Z3" s="210"/>
      <c r="AA3" s="210"/>
      <c r="AB3" s="210"/>
      <c r="AC3" s="210"/>
      <c r="AD3" s="210"/>
    </row>
    <row r="4">
      <c r="A4" s="212"/>
      <c r="B4" s="213" t="str">
        <f>'COMPETÈNCIES'!B4</f>
        <v>Llengua Estrangera</v>
      </c>
      <c r="C4" s="196" t="str">
        <f>'COMPETÈNCIES'!C4</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4" s="214" t="s">
        <v>2160</v>
      </c>
      <c r="E4" s="215" t="s">
        <v>244</v>
      </c>
      <c r="F4" s="216" t="s">
        <v>2161</v>
      </c>
      <c r="G4" s="196" t="s">
        <v>2162</v>
      </c>
      <c r="H4" s="196" t="s">
        <v>2163</v>
      </c>
      <c r="I4" s="196" t="s">
        <v>2164</v>
      </c>
      <c r="J4" s="196" t="s">
        <v>2165</v>
      </c>
      <c r="K4" s="164"/>
      <c r="L4" s="164"/>
      <c r="M4" s="164"/>
      <c r="N4" s="164"/>
      <c r="O4" s="164"/>
      <c r="P4" s="164"/>
      <c r="Q4" s="164"/>
      <c r="R4" s="164"/>
      <c r="S4" s="164"/>
      <c r="T4" s="164"/>
      <c r="U4" s="164"/>
      <c r="V4" s="164"/>
      <c r="W4" s="164"/>
      <c r="X4" s="164"/>
      <c r="Y4" s="164"/>
      <c r="Z4" s="164"/>
      <c r="AA4" s="164"/>
      <c r="AB4" s="164"/>
      <c r="AC4" s="164"/>
      <c r="AD4" s="164"/>
    </row>
    <row r="5">
      <c r="A5" s="212"/>
      <c r="B5" s="213" t="str">
        <f>'COMPETÈNCIES'!B5</f>
        <v>Llengua Estrangera</v>
      </c>
      <c r="C5" s="196" t="str">
        <f>'COMPETÈNCIES'!C5</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5" s="217" t="s">
        <v>2166</v>
      </c>
      <c r="E5" s="218" t="s">
        <v>714</v>
      </c>
      <c r="F5" s="219" t="s">
        <v>2167</v>
      </c>
      <c r="G5" s="218" t="s">
        <v>2168</v>
      </c>
      <c r="H5" s="218" t="s">
        <v>2169</v>
      </c>
      <c r="I5" s="196" t="s">
        <v>2170</v>
      </c>
      <c r="J5" s="196" t="s">
        <v>2171</v>
      </c>
      <c r="K5" s="164"/>
      <c r="L5" s="164"/>
      <c r="M5" s="164"/>
      <c r="N5" s="164"/>
      <c r="O5" s="164"/>
      <c r="P5" s="164"/>
      <c r="Q5" s="164"/>
      <c r="R5" s="164"/>
      <c r="S5" s="164"/>
      <c r="T5" s="164"/>
      <c r="U5" s="164"/>
      <c r="V5" s="164"/>
      <c r="W5" s="164"/>
      <c r="X5" s="164"/>
      <c r="Y5" s="164"/>
      <c r="Z5" s="164"/>
      <c r="AA5" s="164"/>
      <c r="AB5" s="164"/>
      <c r="AC5" s="164"/>
      <c r="AD5" s="164"/>
    </row>
    <row r="6">
      <c r="A6" s="220"/>
      <c r="B6" s="213" t="str">
        <f>'COMPETÈNCIES'!B6</f>
        <v/>
      </c>
      <c r="C6" s="218" t="str">
        <f>'COMPETÈNCIES'!C6</f>
        <v/>
      </c>
      <c r="D6" s="219"/>
      <c r="E6" s="219"/>
      <c r="F6" s="219"/>
      <c r="G6" s="218"/>
      <c r="H6" s="218"/>
      <c r="I6" s="221"/>
      <c r="J6" s="221"/>
      <c r="K6" s="164"/>
      <c r="L6" s="164"/>
      <c r="M6" s="164"/>
      <c r="N6" s="164"/>
      <c r="O6" s="164"/>
      <c r="P6" s="164"/>
      <c r="Q6" s="164"/>
      <c r="R6" s="164"/>
      <c r="S6" s="164"/>
      <c r="T6" s="164"/>
      <c r="U6" s="164"/>
      <c r="V6" s="164"/>
      <c r="W6" s="164"/>
      <c r="X6" s="164"/>
      <c r="Y6" s="164"/>
      <c r="Z6" s="164"/>
      <c r="AA6" s="164"/>
      <c r="AB6" s="164"/>
      <c r="AC6" s="164"/>
      <c r="AD6" s="164"/>
    </row>
    <row r="7">
      <c r="A7" s="220"/>
      <c r="B7" s="213" t="str">
        <f>'COMPETÈNCIES'!B7</f>
        <v/>
      </c>
      <c r="C7" s="222" t="str">
        <f>'COMPETÈNCIES'!C7</f>
        <v/>
      </c>
      <c r="D7" s="219"/>
      <c r="E7" s="219"/>
      <c r="F7" s="219"/>
      <c r="G7" s="218"/>
      <c r="H7" s="218"/>
      <c r="I7" s="221"/>
      <c r="J7" s="221"/>
      <c r="K7" s="164"/>
      <c r="L7" s="164"/>
      <c r="M7" s="164"/>
      <c r="N7" s="164"/>
      <c r="O7" s="164"/>
      <c r="P7" s="164"/>
      <c r="Q7" s="164"/>
      <c r="R7" s="164"/>
      <c r="S7" s="164"/>
      <c r="T7" s="164"/>
      <c r="U7" s="164"/>
      <c r="V7" s="164"/>
      <c r="W7" s="164"/>
      <c r="X7" s="164"/>
      <c r="Y7" s="164"/>
      <c r="Z7" s="164"/>
      <c r="AA7" s="164"/>
      <c r="AB7" s="164"/>
      <c r="AC7" s="164"/>
      <c r="AD7" s="164"/>
    </row>
    <row r="8">
      <c r="A8" s="220"/>
      <c r="B8" s="213" t="str">
        <f>'COMPETÈNCIES'!B8</f>
        <v/>
      </c>
      <c r="C8" s="222" t="str">
        <f>'COMPETÈNCIES'!C8</f>
        <v/>
      </c>
      <c r="D8" s="219"/>
      <c r="E8" s="219"/>
      <c r="F8" s="219"/>
      <c r="G8" s="218"/>
      <c r="H8" s="218"/>
      <c r="I8" s="221"/>
      <c r="J8" s="221"/>
      <c r="K8" s="164"/>
      <c r="L8" s="164"/>
      <c r="M8" s="164"/>
      <c r="N8" s="164"/>
      <c r="O8" s="164"/>
      <c r="P8" s="164"/>
      <c r="Q8" s="164"/>
      <c r="R8" s="164"/>
      <c r="S8" s="164"/>
      <c r="T8" s="164"/>
      <c r="U8" s="164"/>
      <c r="V8" s="164"/>
      <c r="W8" s="164"/>
      <c r="X8" s="164"/>
      <c r="Y8" s="164"/>
      <c r="Z8" s="164"/>
      <c r="AA8" s="164"/>
      <c r="AB8" s="164"/>
      <c r="AC8" s="164"/>
      <c r="AD8" s="164"/>
    </row>
    <row r="9">
      <c r="A9" s="220"/>
      <c r="B9" s="213" t="str">
        <f>'COMPETÈNCIES'!B9</f>
        <v/>
      </c>
      <c r="C9" s="218" t="str">
        <f>'COMPETÈNCIES'!C9</f>
        <v/>
      </c>
      <c r="D9" s="219"/>
      <c r="E9" s="219"/>
      <c r="F9" s="219"/>
      <c r="G9" s="218"/>
      <c r="H9" s="218"/>
      <c r="I9" s="221"/>
      <c r="J9" s="221"/>
      <c r="K9" s="164"/>
      <c r="L9" s="164"/>
      <c r="M9" s="164"/>
      <c r="N9" s="164"/>
      <c r="O9" s="164"/>
      <c r="P9" s="164"/>
      <c r="Q9" s="164"/>
      <c r="R9" s="164"/>
      <c r="S9" s="164"/>
      <c r="T9" s="164"/>
      <c r="U9" s="164"/>
      <c r="V9" s="164"/>
      <c r="W9" s="164"/>
      <c r="X9" s="164"/>
      <c r="Y9" s="164"/>
      <c r="Z9" s="164"/>
      <c r="AA9" s="164"/>
      <c r="AB9" s="164"/>
      <c r="AC9" s="164"/>
      <c r="AD9" s="164"/>
    </row>
    <row r="10">
      <c r="A10" s="220"/>
      <c r="B10" s="213" t="str">
        <f>'COMPETÈNCIES'!B10</f>
        <v/>
      </c>
      <c r="C10" s="218" t="str">
        <f>'COMPETÈNCIES'!C10</f>
        <v/>
      </c>
      <c r="D10" s="219"/>
      <c r="E10" s="219"/>
      <c r="F10" s="219"/>
      <c r="G10" s="218"/>
      <c r="H10" s="218"/>
      <c r="I10" s="221"/>
      <c r="J10" s="221"/>
      <c r="K10" s="164"/>
      <c r="L10" s="164"/>
      <c r="M10" s="164"/>
      <c r="N10" s="164"/>
      <c r="O10" s="164"/>
      <c r="P10" s="164"/>
      <c r="Q10" s="164"/>
      <c r="R10" s="164"/>
      <c r="S10" s="164"/>
      <c r="T10" s="164"/>
      <c r="U10" s="164"/>
      <c r="V10" s="164"/>
      <c r="W10" s="164"/>
      <c r="X10" s="164"/>
      <c r="Y10" s="164"/>
      <c r="Z10" s="164"/>
      <c r="AA10" s="164"/>
      <c r="AB10" s="164"/>
      <c r="AC10" s="164"/>
      <c r="AD10" s="164"/>
    </row>
    <row r="11">
      <c r="A11" s="220"/>
      <c r="B11" s="213" t="str">
        <f>'COMPETÈNCIES'!B11</f>
        <v/>
      </c>
      <c r="C11" s="218" t="str">
        <f>'COMPETÈNCIES'!C11</f>
        <v/>
      </c>
      <c r="D11" s="219"/>
      <c r="E11" s="219"/>
      <c r="F11" s="219"/>
      <c r="G11" s="218"/>
      <c r="H11" s="218"/>
      <c r="I11" s="221"/>
      <c r="J11" s="221"/>
      <c r="K11" s="164"/>
      <c r="L11" s="164"/>
      <c r="M11" s="164"/>
      <c r="N11" s="164"/>
      <c r="O11" s="164"/>
      <c r="P11" s="164"/>
      <c r="Q11" s="164"/>
      <c r="R11" s="164"/>
      <c r="S11" s="164"/>
      <c r="T11" s="164"/>
      <c r="U11" s="164"/>
      <c r="V11" s="164"/>
      <c r="W11" s="164"/>
      <c r="X11" s="164"/>
      <c r="Y11" s="164"/>
      <c r="Z11" s="164"/>
      <c r="AA11" s="164"/>
      <c r="AB11" s="164"/>
      <c r="AC11" s="164"/>
      <c r="AD11" s="164"/>
    </row>
    <row r="12">
      <c r="A12" s="220"/>
      <c r="B12" s="213" t="str">
        <f>'COMPETÈNCIES'!B12</f>
        <v/>
      </c>
      <c r="C12" s="218" t="str">
        <f>'COMPETÈNCIES'!C12</f>
        <v/>
      </c>
      <c r="D12" s="219"/>
      <c r="E12" s="219"/>
      <c r="F12" s="219"/>
      <c r="G12" s="218"/>
      <c r="H12" s="218"/>
      <c r="I12" s="221"/>
      <c r="J12" s="221"/>
      <c r="K12" s="164"/>
      <c r="L12" s="164"/>
      <c r="M12" s="164"/>
      <c r="N12" s="164"/>
      <c r="O12" s="164"/>
      <c r="P12" s="164"/>
      <c r="Q12" s="164"/>
      <c r="R12" s="164"/>
      <c r="S12" s="164"/>
      <c r="T12" s="164"/>
      <c r="U12" s="164"/>
      <c r="V12" s="164"/>
      <c r="W12" s="164"/>
      <c r="X12" s="164"/>
      <c r="Y12" s="164"/>
      <c r="Z12" s="164"/>
      <c r="AA12" s="164"/>
      <c r="AB12" s="164"/>
      <c r="AC12" s="164"/>
      <c r="AD12" s="164"/>
    </row>
    <row r="13">
      <c r="A13" s="223"/>
      <c r="B13" s="213" t="str">
        <f>'COMPETÈNCIES'!B13</f>
        <v/>
      </c>
      <c r="C13" s="218" t="str">
        <f>'COMPETÈNCIES'!C13</f>
        <v/>
      </c>
      <c r="D13" s="218"/>
      <c r="E13" s="218"/>
      <c r="F13" s="218"/>
      <c r="G13" s="218"/>
      <c r="H13" s="218"/>
      <c r="I13" s="221"/>
      <c r="J13" s="221"/>
      <c r="K13" s="164"/>
      <c r="L13" s="164"/>
      <c r="M13" s="164"/>
      <c r="N13" s="164"/>
      <c r="O13" s="164"/>
      <c r="P13" s="164"/>
      <c r="Q13" s="164"/>
      <c r="R13" s="164"/>
      <c r="S13" s="164"/>
      <c r="T13" s="164"/>
      <c r="U13" s="164"/>
      <c r="V13" s="164"/>
      <c r="W13" s="164"/>
      <c r="X13" s="164"/>
      <c r="Y13" s="164"/>
      <c r="Z13" s="164"/>
      <c r="AA13" s="164"/>
      <c r="AB13" s="164"/>
      <c r="AC13" s="164"/>
      <c r="AD13" s="164"/>
    </row>
    <row r="14" ht="15.75" customHeight="1">
      <c r="A14" s="224"/>
      <c r="B14" s="225"/>
      <c r="C14" s="226"/>
      <c r="D14" s="226"/>
      <c r="E14" s="226"/>
      <c r="F14" s="226"/>
      <c r="G14" s="226"/>
      <c r="H14" s="226"/>
      <c r="I14" s="165"/>
      <c r="J14" s="165"/>
      <c r="K14" s="165"/>
      <c r="L14" s="165"/>
      <c r="M14" s="165"/>
      <c r="N14" s="165"/>
      <c r="O14" s="165"/>
      <c r="P14" s="165"/>
      <c r="Q14" s="165"/>
      <c r="R14" s="165"/>
      <c r="S14" s="165"/>
      <c r="T14" s="165"/>
      <c r="U14" s="165"/>
      <c r="V14" s="165"/>
      <c r="W14" s="165"/>
      <c r="X14" s="165"/>
      <c r="Y14" s="165"/>
      <c r="Z14" s="165"/>
      <c r="AA14" s="165"/>
      <c r="AB14" s="165"/>
      <c r="AC14" s="165"/>
      <c r="AD14" s="165"/>
    </row>
    <row r="15" ht="59.25" customHeight="1">
      <c r="A15" s="227"/>
      <c r="B15" s="228"/>
      <c r="C15" s="229" t="s">
        <v>15</v>
      </c>
      <c r="D15" s="230" t="s">
        <v>2172</v>
      </c>
      <c r="E15" s="230" t="s">
        <v>2173</v>
      </c>
      <c r="F15" s="230" t="s">
        <v>2174</v>
      </c>
      <c r="G15" s="231" t="s">
        <v>2155</v>
      </c>
      <c r="H15" s="30"/>
      <c r="I15" s="30"/>
      <c r="J15" s="31"/>
      <c r="K15" s="164"/>
      <c r="L15" s="164"/>
      <c r="M15" s="164"/>
      <c r="N15" s="164"/>
      <c r="O15" s="164"/>
      <c r="P15" s="164"/>
      <c r="Q15" s="164"/>
      <c r="R15" s="164"/>
      <c r="S15" s="164"/>
      <c r="T15" s="164"/>
      <c r="U15" s="164"/>
      <c r="V15" s="164"/>
      <c r="W15" s="164"/>
      <c r="X15" s="164"/>
      <c r="Y15" s="164"/>
      <c r="Z15" s="164"/>
      <c r="AA15" s="164"/>
      <c r="AB15" s="164"/>
      <c r="AC15" s="164"/>
      <c r="AD15" s="164"/>
    </row>
    <row r="16">
      <c r="A16" s="232"/>
      <c r="B16" s="233" t="s">
        <v>2147</v>
      </c>
      <c r="C16" s="234" t="str">
        <f>'COMPETÈNCIES'!C16</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6" s="235"/>
      <c r="E16" s="236" t="s">
        <v>837</v>
      </c>
      <c r="F16" s="235"/>
      <c r="G16" s="235"/>
      <c r="H16" s="235"/>
      <c r="I16" s="235"/>
      <c r="J16" s="235"/>
      <c r="K16" s="165"/>
      <c r="L16" s="165"/>
      <c r="M16" s="165"/>
      <c r="N16" s="165"/>
      <c r="O16" s="165"/>
      <c r="P16" s="165"/>
      <c r="Q16" s="165"/>
      <c r="R16" s="165"/>
      <c r="S16" s="165"/>
      <c r="T16" s="165"/>
      <c r="U16" s="165"/>
      <c r="V16" s="165"/>
      <c r="W16" s="165"/>
      <c r="X16" s="165"/>
      <c r="Y16" s="165"/>
      <c r="Z16" s="165"/>
      <c r="AA16" s="165"/>
      <c r="AB16" s="165"/>
      <c r="AC16" s="165"/>
      <c r="AD16" s="165"/>
    </row>
    <row r="17">
      <c r="A17" s="232"/>
      <c r="B17" s="233" t="s">
        <v>2148</v>
      </c>
      <c r="C17" s="234" t="str">
        <f>'COMPETÈNCIES'!C17</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c r="D17" s="235"/>
      <c r="E17" s="236" t="s">
        <v>813</v>
      </c>
      <c r="F17" s="235"/>
      <c r="G17" s="237"/>
      <c r="H17" s="237"/>
      <c r="I17" s="237"/>
      <c r="J17" s="237"/>
      <c r="K17" s="165"/>
      <c r="L17" s="165"/>
      <c r="M17" s="165"/>
      <c r="N17" s="165"/>
      <c r="O17" s="165"/>
      <c r="P17" s="165"/>
      <c r="Q17" s="165"/>
      <c r="R17" s="165"/>
      <c r="S17" s="165"/>
      <c r="T17" s="165"/>
      <c r="U17" s="165"/>
      <c r="V17" s="165"/>
      <c r="W17" s="165"/>
      <c r="X17" s="165"/>
      <c r="Y17" s="165"/>
      <c r="Z17" s="165"/>
      <c r="AA17" s="165"/>
      <c r="AB17" s="165"/>
      <c r="AC17" s="165"/>
      <c r="AD17" s="165"/>
    </row>
    <row r="18">
      <c r="A18" s="232"/>
      <c r="B18" s="233" t="s">
        <v>2175</v>
      </c>
      <c r="C18" s="234" t="str">
        <f>'COMPETÈNCIES'!C18</f>
        <v>CPSAA 5. Planificar objectius a mitjà termini i desenvolupar processos metacognitius de retroacció per aprendre dels propis errors en el procés de construcció de coneixement.</v>
      </c>
      <c r="D18" s="235"/>
      <c r="E18" s="236" t="s">
        <v>896</v>
      </c>
      <c r="F18" s="235"/>
      <c r="G18" s="237"/>
      <c r="H18" s="237"/>
      <c r="I18" s="237"/>
      <c r="J18" s="237"/>
      <c r="K18" s="165"/>
      <c r="L18" s="165"/>
      <c r="M18" s="165"/>
      <c r="N18" s="165"/>
      <c r="O18" s="165"/>
      <c r="P18" s="165"/>
      <c r="Q18" s="165"/>
      <c r="R18" s="165"/>
      <c r="S18" s="165"/>
      <c r="T18" s="165"/>
      <c r="U18" s="165"/>
      <c r="V18" s="165"/>
      <c r="W18" s="165"/>
      <c r="X18" s="165"/>
      <c r="Y18" s="165"/>
      <c r="Z18" s="165"/>
      <c r="AA18" s="165"/>
      <c r="AB18" s="165"/>
      <c r="AC18" s="165"/>
      <c r="AD18" s="165"/>
    </row>
    <row r="19">
      <c r="A19" s="232"/>
      <c r="B19" s="233" t="s">
        <v>2150</v>
      </c>
      <c r="C19" s="234" t="str">
        <f>'COMPETÈNCIES'!C19</f>
        <v>CD1. Fer cerques avançades a Internet atenent a criteris de validesa, qualitat, actualitat i fiabilitat, seleccionant-les de manera crítica i arxivant-les per recuperar, referenciar i reutilitzar aquestes recerques respecte a la propietat intel·lectual.</v>
      </c>
      <c r="D19" s="235"/>
      <c r="E19" s="236" t="s">
        <v>851</v>
      </c>
      <c r="F19" s="235"/>
      <c r="G19" s="237"/>
      <c r="H19" s="237"/>
      <c r="I19" s="237"/>
      <c r="J19" s="237"/>
      <c r="K19" s="165"/>
      <c r="L19" s="165"/>
      <c r="M19" s="165"/>
      <c r="N19" s="165"/>
      <c r="O19" s="165"/>
      <c r="P19" s="165"/>
      <c r="Q19" s="165"/>
      <c r="R19" s="165"/>
      <c r="S19" s="165"/>
      <c r="T19" s="165"/>
      <c r="U19" s="165"/>
      <c r="V19" s="165"/>
      <c r="W19" s="165"/>
      <c r="X19" s="165"/>
      <c r="Y19" s="165"/>
      <c r="Z19" s="165"/>
      <c r="AA19" s="165"/>
      <c r="AB19" s="165"/>
      <c r="AC19" s="165"/>
      <c r="AD19" s="165"/>
    </row>
    <row r="20" ht="15.75" customHeight="1">
      <c r="A20" s="232"/>
      <c r="B20" s="164"/>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row>
    <row r="21" ht="15.75" customHeight="1">
      <c r="A21" s="232"/>
      <c r="B21" s="164"/>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row>
    <row r="22" ht="15.75" customHeight="1">
      <c r="A22" s="232"/>
      <c r="B22" s="164"/>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row>
    <row r="23" ht="15.75" customHeight="1">
      <c r="A23" s="232"/>
      <c r="B23" s="164"/>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row>
    <row r="24" ht="15.75" customHeight="1">
      <c r="A24" s="232"/>
      <c r="B24" s="164"/>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row>
    <row r="25" ht="15.75" customHeight="1">
      <c r="A25" s="232"/>
      <c r="B25" s="164"/>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row>
    <row r="26" ht="15.75" customHeight="1">
      <c r="A26" s="232"/>
      <c r="B26" s="164"/>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row>
    <row r="27" ht="15.75" customHeight="1">
      <c r="A27" s="232"/>
      <c r="B27" s="164"/>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row>
    <row r="28" ht="15.75" customHeight="1">
      <c r="A28" s="232"/>
      <c r="B28" s="164"/>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row>
    <row r="29" ht="15.75" customHeight="1">
      <c r="A29" s="232"/>
      <c r="B29" s="164"/>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row>
    <row r="30" ht="15.75" customHeight="1">
      <c r="A30" s="232"/>
      <c r="B30" s="164"/>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row>
    <row r="31" ht="15.75" customHeight="1">
      <c r="A31" s="232"/>
      <c r="B31" s="164"/>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row>
    <row r="32" ht="15.75" customHeight="1">
      <c r="A32" s="232"/>
      <c r="B32" s="164"/>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row>
    <row r="33" ht="15.75" customHeight="1">
      <c r="A33" s="232"/>
      <c r="B33" s="164"/>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row>
    <row r="34" ht="15.75" customHeight="1">
      <c r="A34" s="232"/>
      <c r="B34" s="164"/>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row>
    <row r="35" ht="15.75" customHeight="1">
      <c r="A35" s="232"/>
      <c r="B35" s="164"/>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row>
    <row r="36" ht="15.75" customHeight="1">
      <c r="A36" s="232"/>
      <c r="B36" s="164"/>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row>
    <row r="37" ht="15.75" customHeight="1">
      <c r="A37" s="232"/>
      <c r="B37" s="164"/>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row>
    <row r="38" ht="15.75" customHeight="1">
      <c r="A38" s="232"/>
      <c r="B38" s="164"/>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row>
    <row r="39" ht="15.75" customHeight="1">
      <c r="A39" s="232"/>
      <c r="B39" s="164"/>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row>
    <row r="40" ht="15.75" customHeight="1">
      <c r="A40" s="232"/>
      <c r="B40" s="164"/>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row>
    <row r="41" ht="15.75" customHeight="1">
      <c r="A41" s="232"/>
      <c r="B41" s="164"/>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row>
    <row r="42" ht="15.75" customHeight="1">
      <c r="A42" s="232"/>
      <c r="B42" s="164"/>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row>
    <row r="43" ht="15.75" customHeight="1">
      <c r="A43" s="232"/>
      <c r="B43" s="164"/>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row>
    <row r="44" ht="15.75" customHeight="1">
      <c r="A44" s="232"/>
      <c r="B44" s="16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row>
    <row r="45" ht="15.75" customHeight="1">
      <c r="A45" s="232"/>
      <c r="B45" s="164"/>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row>
    <row r="46" ht="15.75" customHeight="1">
      <c r="A46" s="232"/>
      <c r="B46" s="164"/>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row>
    <row r="47" ht="15.75" customHeight="1">
      <c r="A47" s="232"/>
      <c r="B47" s="164"/>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row>
    <row r="48" ht="15.75" customHeight="1">
      <c r="A48" s="232"/>
      <c r="B48" s="164"/>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row>
    <row r="49" ht="15.75" customHeight="1">
      <c r="A49" s="232"/>
      <c r="B49" s="164"/>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row>
    <row r="50" ht="15.75" customHeight="1">
      <c r="A50" s="232"/>
      <c r="B50" s="164"/>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row>
    <row r="51" ht="15.75" customHeight="1">
      <c r="A51" s="232"/>
      <c r="B51" s="164"/>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row>
    <row r="52" ht="15.75" customHeight="1">
      <c r="A52" s="232"/>
      <c r="B52" s="164"/>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row>
    <row r="53" ht="15.75" customHeight="1">
      <c r="A53" s="232"/>
      <c r="B53" s="164"/>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row>
    <row r="54" ht="15.75" customHeight="1">
      <c r="A54" s="232"/>
      <c r="B54" s="164"/>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row>
    <row r="55" ht="15.75" customHeight="1">
      <c r="A55" s="232"/>
      <c r="B55" s="164"/>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row>
    <row r="56" ht="15.75" customHeight="1">
      <c r="A56" s="232"/>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row>
    <row r="57" ht="15.75" customHeight="1">
      <c r="A57" s="232"/>
      <c r="B57" s="164"/>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row>
    <row r="58" ht="15.75" customHeight="1">
      <c r="A58" s="232"/>
      <c r="B58" s="164"/>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row>
    <row r="59" ht="15.75" customHeight="1">
      <c r="A59" s="232"/>
      <c r="B59" s="164"/>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row>
    <row r="60" ht="15.75" customHeight="1">
      <c r="A60" s="232"/>
      <c r="B60" s="164"/>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row>
    <row r="61" ht="15.75" customHeight="1">
      <c r="A61" s="232"/>
      <c r="B61" s="164"/>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row>
    <row r="62" ht="15.75" customHeight="1">
      <c r="A62" s="232"/>
      <c r="B62" s="164"/>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row>
    <row r="63" ht="15.75" customHeight="1">
      <c r="A63" s="232"/>
      <c r="B63" s="164"/>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row>
    <row r="64" ht="15.75" customHeight="1">
      <c r="A64" s="232"/>
      <c r="B64" s="164"/>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row>
    <row r="65" ht="15.75" customHeight="1">
      <c r="A65" s="232"/>
      <c r="B65" s="164"/>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row>
    <row r="66" ht="15.75" customHeight="1">
      <c r="A66" s="232"/>
      <c r="B66" s="164"/>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row>
    <row r="67" ht="15.75" customHeight="1">
      <c r="A67" s="232"/>
      <c r="B67" s="164"/>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c r="AA67" s="165"/>
      <c r="AB67" s="165"/>
      <c r="AC67" s="165"/>
      <c r="AD67" s="165"/>
    </row>
    <row r="68" ht="15.75" customHeight="1">
      <c r="A68" s="232"/>
      <c r="B68" s="164"/>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row>
    <row r="69" ht="15.75" customHeight="1">
      <c r="A69" s="232"/>
      <c r="B69" s="164"/>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row>
    <row r="70" ht="15.75" customHeight="1">
      <c r="A70" s="232"/>
      <c r="B70" s="164"/>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c r="AB70" s="165"/>
      <c r="AC70" s="165"/>
      <c r="AD70" s="165"/>
    </row>
    <row r="71" ht="15.75" customHeight="1">
      <c r="A71" s="232"/>
      <c r="B71" s="164"/>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c r="AA71" s="165"/>
      <c r="AB71" s="165"/>
      <c r="AC71" s="165"/>
      <c r="AD71" s="165"/>
    </row>
    <row r="72" ht="15.75" customHeight="1">
      <c r="A72" s="232"/>
      <c r="B72" s="164"/>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row>
    <row r="73" ht="15.75" customHeight="1">
      <c r="A73" s="232"/>
      <c r="B73" s="164"/>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row>
    <row r="74" ht="15.75" customHeight="1">
      <c r="A74" s="232"/>
      <c r="B74" s="164"/>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row>
    <row r="75" ht="15.75" customHeight="1">
      <c r="A75" s="232"/>
      <c r="B75" s="164"/>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c r="AA75" s="165"/>
      <c r="AB75" s="165"/>
      <c r="AC75" s="165"/>
      <c r="AD75" s="165"/>
    </row>
    <row r="76" ht="15.75" customHeight="1">
      <c r="A76" s="232"/>
      <c r="B76" s="164"/>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row>
    <row r="77" ht="15.75" customHeight="1">
      <c r="A77" s="232"/>
      <c r="B77" s="164"/>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c r="AB77" s="165"/>
      <c r="AC77" s="165"/>
      <c r="AD77" s="165"/>
    </row>
    <row r="78" ht="15.75" customHeight="1">
      <c r="A78" s="232"/>
      <c r="B78" s="164"/>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row>
    <row r="79" ht="15.75" customHeight="1">
      <c r="A79" s="232"/>
      <c r="B79" s="164"/>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row>
    <row r="80" ht="15.75" customHeight="1">
      <c r="A80" s="232"/>
      <c r="B80" s="164"/>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row>
    <row r="81" ht="15.75" customHeight="1">
      <c r="A81" s="232"/>
      <c r="B81" s="164"/>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row>
    <row r="82" ht="15.75" customHeight="1">
      <c r="A82" s="232"/>
      <c r="B82" s="164"/>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row>
    <row r="83" ht="15.75" customHeight="1">
      <c r="A83" s="232"/>
      <c r="B83" s="164"/>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c r="AB83" s="165"/>
      <c r="AC83" s="165"/>
      <c r="AD83" s="165"/>
    </row>
    <row r="84" ht="15.75" customHeight="1">
      <c r="A84" s="232"/>
      <c r="B84" s="164"/>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c r="AA84" s="165"/>
      <c r="AB84" s="165"/>
      <c r="AC84" s="165"/>
      <c r="AD84" s="165"/>
    </row>
    <row r="85" ht="15.75" customHeight="1">
      <c r="A85" s="232"/>
      <c r="B85" s="164"/>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row>
    <row r="86" ht="15.75" customHeight="1">
      <c r="A86" s="232"/>
      <c r="B86" s="164"/>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row>
    <row r="87" ht="15.75" customHeight="1">
      <c r="A87" s="232"/>
      <c r="B87" s="164"/>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row>
    <row r="88" ht="15.75" customHeight="1">
      <c r="A88" s="232"/>
      <c r="B88" s="164"/>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row>
    <row r="89" ht="15.75" customHeight="1">
      <c r="A89" s="232"/>
      <c r="B89" s="164"/>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row>
    <row r="90" ht="15.75" customHeight="1">
      <c r="A90" s="232"/>
      <c r="B90" s="164"/>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row>
    <row r="91" ht="15.75" customHeight="1">
      <c r="A91" s="232"/>
      <c r="B91" s="164"/>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row>
    <row r="92" ht="15.75" customHeight="1">
      <c r="A92" s="232"/>
      <c r="B92" s="164"/>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row>
    <row r="93" ht="15.75" customHeight="1">
      <c r="A93" s="232"/>
      <c r="B93" s="164"/>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row>
    <row r="94" ht="15.75" customHeight="1">
      <c r="A94" s="232"/>
      <c r="B94" s="164"/>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row>
    <row r="95" ht="15.75" customHeight="1">
      <c r="A95" s="232"/>
      <c r="B95" s="164"/>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row>
    <row r="96" ht="15.75" customHeight="1">
      <c r="A96" s="232"/>
      <c r="B96" s="164"/>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row>
    <row r="97" ht="15.75" customHeight="1">
      <c r="A97" s="232"/>
      <c r="B97" s="164"/>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row>
    <row r="98" ht="15.75" customHeight="1">
      <c r="A98" s="232"/>
      <c r="B98" s="164"/>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row>
    <row r="99" ht="15.75" customHeight="1">
      <c r="A99" s="232"/>
      <c r="B99" s="164"/>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row>
    <row r="100" ht="15.75" customHeight="1">
      <c r="A100" s="232"/>
      <c r="B100" s="164"/>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row>
    <row r="101" ht="15.75" customHeight="1">
      <c r="A101" s="232"/>
      <c r="B101" s="164"/>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row>
    <row r="102" ht="15.75" customHeight="1">
      <c r="A102" s="232"/>
      <c r="B102" s="164"/>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c r="AA102" s="165"/>
      <c r="AB102" s="165"/>
      <c r="AC102" s="165"/>
      <c r="AD102" s="165"/>
    </row>
    <row r="103" ht="15.75" customHeight="1">
      <c r="A103" s="232"/>
      <c r="B103" s="164"/>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row>
    <row r="104" ht="15.75" customHeight="1">
      <c r="A104" s="232"/>
      <c r="B104" s="164"/>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row>
    <row r="105" ht="15.75" customHeight="1">
      <c r="A105" s="232"/>
      <c r="B105" s="164"/>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c r="AB105" s="165"/>
      <c r="AC105" s="165"/>
      <c r="AD105" s="165"/>
    </row>
    <row r="106" ht="15.75" customHeight="1">
      <c r="A106" s="232"/>
      <c r="B106" s="164"/>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c r="AA106" s="165"/>
      <c r="AB106" s="165"/>
      <c r="AC106" s="165"/>
      <c r="AD106" s="165"/>
    </row>
    <row r="107" ht="15.75" customHeight="1">
      <c r="A107" s="232"/>
      <c r="B107" s="164"/>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c r="AA107" s="165"/>
      <c r="AB107" s="165"/>
      <c r="AC107" s="165"/>
      <c r="AD107" s="165"/>
    </row>
    <row r="108" ht="15.75" customHeight="1">
      <c r="A108" s="232"/>
      <c r="B108" s="164"/>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c r="AA108" s="165"/>
      <c r="AB108" s="165"/>
      <c r="AC108" s="165"/>
      <c r="AD108" s="165"/>
    </row>
    <row r="109" ht="15.75" customHeight="1">
      <c r="A109" s="232"/>
      <c r="B109" s="164"/>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row>
    <row r="110" ht="15.75" customHeight="1">
      <c r="A110" s="232"/>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row>
    <row r="111" ht="15.75" customHeight="1">
      <c r="A111" s="232"/>
      <c r="B111" s="164"/>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c r="AA111" s="165"/>
      <c r="AB111" s="165"/>
      <c r="AC111" s="165"/>
      <c r="AD111" s="165"/>
    </row>
    <row r="112" ht="15.75" customHeight="1">
      <c r="A112" s="232"/>
      <c r="B112" s="164"/>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row>
    <row r="113" ht="15.75" customHeight="1">
      <c r="A113" s="232"/>
      <c r="B113" s="164"/>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c r="AB113" s="165"/>
      <c r="AC113" s="165"/>
      <c r="AD113" s="165"/>
    </row>
    <row r="114" ht="15.75" customHeight="1">
      <c r="A114" s="232"/>
      <c r="B114" s="164"/>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c r="AA114" s="165"/>
      <c r="AB114" s="165"/>
      <c r="AC114" s="165"/>
      <c r="AD114" s="165"/>
    </row>
    <row r="115" ht="15.75" customHeight="1">
      <c r="A115" s="232"/>
      <c r="B115" s="164"/>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c r="AB115" s="165"/>
      <c r="AC115" s="165"/>
      <c r="AD115" s="165"/>
    </row>
    <row r="116" ht="15.75" customHeight="1">
      <c r="A116" s="232"/>
      <c r="B116" s="164"/>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row>
    <row r="117" ht="15.75" customHeight="1">
      <c r="A117" s="232"/>
      <c r="B117" s="164"/>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c r="AA117" s="165"/>
      <c r="AB117" s="165"/>
      <c r="AC117" s="165"/>
      <c r="AD117" s="165"/>
    </row>
    <row r="118" ht="15.75" customHeight="1">
      <c r="A118" s="232"/>
      <c r="B118" s="164"/>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c r="AB118" s="165"/>
      <c r="AC118" s="165"/>
      <c r="AD118" s="165"/>
    </row>
    <row r="119" ht="15.75" customHeight="1">
      <c r="A119" s="232"/>
      <c r="B119" s="164"/>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c r="AB119" s="165"/>
      <c r="AC119" s="165"/>
      <c r="AD119" s="165"/>
    </row>
    <row r="120" ht="15.75" customHeight="1">
      <c r="A120" s="232"/>
      <c r="B120" s="164"/>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c r="AB120" s="165"/>
      <c r="AC120" s="165"/>
      <c r="AD120" s="165"/>
    </row>
    <row r="121" ht="15.75" customHeight="1">
      <c r="A121" s="232"/>
      <c r="B121" s="164"/>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c r="AB121" s="165"/>
      <c r="AC121" s="165"/>
      <c r="AD121" s="165"/>
    </row>
    <row r="122" ht="15.75" customHeight="1">
      <c r="A122" s="232"/>
      <c r="B122" s="164"/>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c r="AA122" s="165"/>
      <c r="AB122" s="165"/>
      <c r="AC122" s="165"/>
      <c r="AD122" s="165"/>
    </row>
    <row r="123" ht="15.75" customHeight="1">
      <c r="A123" s="232"/>
      <c r="B123" s="164"/>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row>
    <row r="124" ht="15.75" customHeight="1">
      <c r="A124" s="232"/>
      <c r="B124" s="164"/>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c r="AB124" s="165"/>
      <c r="AC124" s="165"/>
      <c r="AD124" s="165"/>
    </row>
    <row r="125" ht="15.75" customHeight="1">
      <c r="A125" s="232"/>
      <c r="B125" s="164"/>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c r="AB125" s="165"/>
      <c r="AC125" s="165"/>
      <c r="AD125" s="165"/>
    </row>
    <row r="126" ht="15.75" customHeight="1">
      <c r="A126" s="232"/>
      <c r="B126" s="164"/>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row>
    <row r="127" ht="15.75" customHeight="1">
      <c r="A127" s="232"/>
      <c r="B127" s="164"/>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c r="AA127" s="165"/>
      <c r="AB127" s="165"/>
      <c r="AC127" s="165"/>
      <c r="AD127" s="165"/>
    </row>
    <row r="128" ht="15.75" customHeight="1">
      <c r="A128" s="232"/>
      <c r="B128" s="164"/>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165"/>
      <c r="AB128" s="165"/>
      <c r="AC128" s="165"/>
      <c r="AD128" s="165"/>
    </row>
    <row r="129" ht="15.75" customHeight="1">
      <c r="A129" s="232"/>
      <c r="B129" s="164"/>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c r="AB129" s="165"/>
      <c r="AC129" s="165"/>
      <c r="AD129" s="165"/>
    </row>
    <row r="130" ht="15.75" customHeight="1">
      <c r="A130" s="232"/>
      <c r="B130" s="164"/>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row>
    <row r="131" ht="15.75" customHeight="1">
      <c r="A131" s="232"/>
      <c r="B131" s="164"/>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c r="AB131" s="165"/>
      <c r="AC131" s="165"/>
      <c r="AD131" s="165"/>
    </row>
    <row r="132" ht="15.75" customHeight="1">
      <c r="A132" s="232"/>
      <c r="B132" s="164"/>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row>
    <row r="133" ht="15.75" customHeight="1">
      <c r="A133" s="232"/>
      <c r="B133" s="164"/>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row>
    <row r="134" ht="15.75" customHeight="1">
      <c r="A134" s="232"/>
      <c r="B134" s="164"/>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row>
    <row r="135" ht="15.75" customHeight="1">
      <c r="A135" s="232"/>
      <c r="B135" s="164"/>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row>
    <row r="136" ht="15.75" customHeight="1">
      <c r="A136" s="232"/>
      <c r="B136" s="164"/>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row>
    <row r="137" ht="15.75" customHeight="1">
      <c r="A137" s="232"/>
      <c r="B137" s="164"/>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row>
    <row r="138" ht="15.75" customHeight="1">
      <c r="A138" s="232"/>
      <c r="B138" s="164"/>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row>
    <row r="139" ht="15.75" customHeight="1">
      <c r="A139" s="232"/>
      <c r="B139" s="164"/>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row>
    <row r="140" ht="15.75" customHeight="1">
      <c r="A140" s="232"/>
      <c r="B140" s="164"/>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row>
    <row r="141" ht="15.75" customHeight="1">
      <c r="A141" s="232"/>
      <c r="B141" s="164"/>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row>
    <row r="142" ht="15.75" customHeight="1">
      <c r="A142" s="232"/>
      <c r="B142" s="164"/>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row>
    <row r="143" ht="15.75" customHeight="1">
      <c r="A143" s="232"/>
      <c r="B143" s="164"/>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row>
    <row r="144" ht="15.75" customHeight="1">
      <c r="A144" s="232"/>
      <c r="B144" s="164"/>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row>
    <row r="145" ht="15.75" customHeight="1">
      <c r="A145" s="232"/>
      <c r="B145" s="164"/>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row>
    <row r="146" ht="15.75" customHeight="1">
      <c r="A146" s="232"/>
      <c r="B146" s="164"/>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row>
    <row r="147" ht="15.75" customHeight="1">
      <c r="A147" s="232"/>
      <c r="B147" s="164"/>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row>
    <row r="148" ht="15.75" customHeight="1">
      <c r="A148" s="232"/>
      <c r="B148" s="164"/>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row>
    <row r="149" ht="15.75" customHeight="1">
      <c r="A149" s="232"/>
      <c r="B149" s="164"/>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row>
    <row r="150" ht="15.75" customHeight="1">
      <c r="A150" s="232"/>
      <c r="B150" s="164"/>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row>
    <row r="151" ht="15.75" customHeight="1">
      <c r="A151" s="232"/>
      <c r="B151" s="164"/>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row>
    <row r="152" ht="15.75" customHeight="1">
      <c r="A152" s="232"/>
      <c r="B152" s="164"/>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row>
    <row r="153" ht="15.75" customHeight="1">
      <c r="A153" s="232"/>
      <c r="B153" s="164"/>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row>
    <row r="154" ht="15.75" customHeight="1">
      <c r="A154" s="232"/>
      <c r="B154" s="164"/>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row>
    <row r="155" ht="15.75" customHeight="1">
      <c r="A155" s="232"/>
      <c r="B155" s="164"/>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row>
    <row r="156" ht="15.75" customHeight="1">
      <c r="A156" s="232"/>
      <c r="B156" s="164"/>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row>
    <row r="157" ht="15.75" customHeight="1">
      <c r="A157" s="232"/>
      <c r="B157" s="164"/>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row>
    <row r="158" ht="15.75" customHeight="1">
      <c r="A158" s="232"/>
      <c r="B158" s="164"/>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row>
    <row r="159" ht="15.75" customHeight="1">
      <c r="A159" s="232"/>
      <c r="B159" s="164"/>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row>
    <row r="160" ht="15.75" customHeight="1">
      <c r="A160" s="232"/>
      <c r="B160" s="164"/>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row>
    <row r="161" ht="15.75" customHeight="1">
      <c r="A161" s="232"/>
      <c r="B161" s="164"/>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row>
    <row r="162" ht="15.75" customHeight="1">
      <c r="A162" s="232"/>
      <c r="B162" s="164"/>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row>
    <row r="163" ht="15.75" customHeight="1">
      <c r="A163" s="232"/>
      <c r="B163" s="164"/>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row>
    <row r="164" ht="15.75" customHeight="1">
      <c r="A164" s="232"/>
      <c r="B164" s="164"/>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row>
    <row r="165" ht="15.75" customHeight="1">
      <c r="A165" s="232"/>
      <c r="B165" s="164"/>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row>
    <row r="166" ht="15.75" customHeight="1">
      <c r="A166" s="232"/>
      <c r="B166" s="164"/>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row>
    <row r="167" ht="15.75" customHeight="1">
      <c r="A167" s="232"/>
      <c r="B167" s="164"/>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row>
    <row r="168" ht="15.75" customHeight="1">
      <c r="A168" s="232"/>
      <c r="B168" s="164"/>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row>
    <row r="169" ht="15.75" customHeight="1">
      <c r="A169" s="232"/>
      <c r="B169" s="164"/>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row>
    <row r="170" ht="15.75" customHeight="1">
      <c r="A170" s="232"/>
      <c r="B170" s="164"/>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row>
    <row r="171" ht="15.75" customHeight="1">
      <c r="A171" s="232"/>
      <c r="B171" s="164"/>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row>
    <row r="172" ht="15.75" customHeight="1">
      <c r="A172" s="232"/>
      <c r="B172" s="164"/>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row>
    <row r="173" ht="15.75" customHeight="1">
      <c r="A173" s="232"/>
      <c r="B173" s="164"/>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row>
    <row r="174" ht="15.75" customHeight="1">
      <c r="A174" s="232"/>
      <c r="B174" s="164"/>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row>
    <row r="175" ht="15.75" customHeight="1">
      <c r="A175" s="232"/>
      <c r="B175" s="164"/>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row>
    <row r="176" ht="15.75" customHeight="1">
      <c r="A176" s="232"/>
      <c r="B176" s="164"/>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row>
    <row r="177" ht="15.75" customHeight="1">
      <c r="A177" s="232"/>
      <c r="B177" s="164"/>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row>
    <row r="178" ht="15.75" customHeight="1">
      <c r="A178" s="232"/>
      <c r="B178" s="164"/>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row>
    <row r="179" ht="15.75" customHeight="1">
      <c r="A179" s="232"/>
      <c r="B179" s="164"/>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row>
    <row r="180" ht="15.75" customHeight="1">
      <c r="A180" s="232"/>
      <c r="B180" s="164"/>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row>
    <row r="181" ht="15.75" customHeight="1">
      <c r="A181" s="232"/>
      <c r="B181" s="164"/>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row>
    <row r="182" ht="15.75" customHeight="1">
      <c r="A182" s="232"/>
      <c r="B182" s="164"/>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row>
    <row r="183" ht="15.75" customHeight="1">
      <c r="A183" s="232"/>
      <c r="B183" s="164"/>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row>
    <row r="184" ht="15.75" customHeight="1">
      <c r="A184" s="232"/>
      <c r="B184" s="164"/>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row>
    <row r="185" ht="15.75" customHeight="1">
      <c r="A185" s="232"/>
      <c r="B185" s="164"/>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row>
    <row r="186" ht="15.75" customHeight="1">
      <c r="A186" s="232"/>
      <c r="B186" s="164"/>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row>
    <row r="187" ht="15.75" customHeight="1">
      <c r="A187" s="232"/>
      <c r="B187" s="164"/>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row>
    <row r="188" ht="15.75" customHeight="1">
      <c r="A188" s="232"/>
      <c r="B188" s="164"/>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row>
    <row r="189" ht="15.75" customHeight="1">
      <c r="A189" s="232"/>
      <c r="B189" s="164"/>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row>
    <row r="190" ht="15.75" customHeight="1">
      <c r="A190" s="232"/>
      <c r="B190" s="164"/>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row>
    <row r="191" ht="15.75" customHeight="1">
      <c r="A191" s="232"/>
      <c r="B191" s="164"/>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row>
    <row r="192" ht="15.75" customHeight="1">
      <c r="A192" s="232"/>
      <c r="B192" s="164"/>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row>
    <row r="193" ht="15.75" customHeight="1">
      <c r="A193" s="232"/>
      <c r="B193" s="164"/>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row>
    <row r="194" ht="15.75" customHeight="1">
      <c r="A194" s="232"/>
      <c r="B194" s="164"/>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row>
    <row r="195" ht="15.75" customHeight="1">
      <c r="A195" s="232"/>
      <c r="B195" s="164"/>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row>
    <row r="196" ht="15.75" customHeight="1">
      <c r="A196" s="232"/>
      <c r="B196" s="164"/>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row>
    <row r="197" ht="15.75" customHeight="1">
      <c r="A197" s="232"/>
      <c r="B197" s="164"/>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row>
    <row r="198" ht="15.75" customHeight="1">
      <c r="A198" s="232"/>
      <c r="B198" s="164"/>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row>
    <row r="199" ht="15.75" customHeight="1">
      <c r="A199" s="232"/>
      <c r="B199" s="164"/>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row>
    <row r="200" ht="15.75" customHeight="1">
      <c r="A200" s="232"/>
      <c r="B200" s="164"/>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row>
    <row r="201" ht="15.75" customHeight="1">
      <c r="A201" s="232"/>
      <c r="B201" s="164"/>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row>
    <row r="202" ht="15.75" customHeight="1">
      <c r="A202" s="232"/>
      <c r="B202" s="164"/>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row>
    <row r="203" ht="15.75" customHeight="1">
      <c r="A203" s="232"/>
      <c r="B203" s="164"/>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row>
    <row r="204" ht="15.75" customHeight="1">
      <c r="A204" s="232"/>
      <c r="B204" s="164"/>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row>
    <row r="205" ht="15.75" customHeight="1">
      <c r="A205" s="232"/>
      <c r="B205" s="164"/>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row>
    <row r="206" ht="15.75" customHeight="1">
      <c r="A206" s="232"/>
      <c r="B206" s="164"/>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row>
    <row r="207" ht="15.75" customHeight="1">
      <c r="A207" s="232"/>
      <c r="B207" s="164"/>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row>
    <row r="208" ht="15.75" customHeight="1">
      <c r="A208" s="232"/>
      <c r="B208" s="164"/>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row>
    <row r="209" ht="15.75" customHeight="1">
      <c r="A209" s="232"/>
      <c r="B209" s="164"/>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row>
    <row r="210" ht="15.75" customHeight="1">
      <c r="A210" s="232"/>
      <c r="B210" s="164"/>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row>
    <row r="211" ht="15.75" customHeight="1">
      <c r="A211" s="232"/>
      <c r="B211" s="164"/>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row>
    <row r="212" ht="15.75" customHeight="1">
      <c r="A212" s="232"/>
      <c r="B212" s="164"/>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row>
    <row r="213" ht="15.75" customHeight="1">
      <c r="A213" s="232"/>
      <c r="B213" s="164"/>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row>
    <row r="214" ht="15.75" customHeight="1">
      <c r="A214" s="232"/>
      <c r="B214" s="164"/>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row>
    <row r="215" ht="15.75" customHeight="1">
      <c r="A215" s="232"/>
      <c r="B215" s="164"/>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row>
    <row r="216" ht="15.75" customHeight="1">
      <c r="A216" s="232"/>
      <c r="B216" s="164"/>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row>
    <row r="217" ht="15.75" customHeight="1">
      <c r="A217" s="232"/>
      <c r="B217" s="164"/>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row>
    <row r="218" ht="15.75" customHeight="1">
      <c r="A218" s="232"/>
      <c r="B218" s="164"/>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row>
    <row r="219" ht="15.75" customHeight="1">
      <c r="A219" s="232"/>
      <c r="B219" s="164"/>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row>
    <row r="220" ht="15.75" customHeight="1">
      <c r="A220" s="232"/>
      <c r="B220" s="164"/>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row>
    <row r="221" ht="15.75" customHeight="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c r="AD221" s="165"/>
    </row>
    <row r="222" ht="15.75" customHeight="1">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row>
    <row r="223" ht="15.75" customHeight="1">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row>
    <row r="224" ht="15.75" customHeight="1">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row>
    <row r="225" ht="15.75" customHeight="1">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c r="AD225" s="165"/>
    </row>
    <row r="226" ht="15.75" customHeight="1">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row>
    <row r="227" ht="15.75" customHeight="1">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row>
    <row r="228" ht="15.75" customHeight="1">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row>
    <row r="229" ht="15.75" customHeight="1">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row>
    <row r="230" ht="15.75" customHeight="1">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row>
    <row r="231" ht="15.75" customHeight="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row>
    <row r="232" ht="15.75" customHeight="1">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row>
    <row r="233" ht="15.75" customHeight="1">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row>
    <row r="234" ht="15.75" customHeight="1">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row>
    <row r="235" ht="15.75" customHeight="1">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row>
    <row r="236" ht="15.75" customHeight="1">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row>
    <row r="237" ht="15.75" customHeight="1">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row>
    <row r="238" ht="15.75" customHeight="1">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row>
    <row r="239" ht="15.75" customHeight="1">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row>
    <row r="240" ht="15.75" customHeight="1">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row>
    <row r="241" ht="15.75" customHeight="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row>
    <row r="242" ht="15.75" customHeight="1">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row>
    <row r="243" ht="15.75" customHeight="1">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row>
    <row r="244" ht="15.75" customHeight="1">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row>
    <row r="245" ht="15.75" customHeight="1">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row>
    <row r="246" ht="15.75" customHeight="1">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row>
    <row r="247" ht="15.75" customHeight="1">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row>
    <row r="248" ht="15.75" customHeight="1">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row>
    <row r="249" ht="15.75" customHeight="1">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row>
    <row r="250" ht="15.75" customHeight="1">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row>
    <row r="251" ht="15.75"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row>
    <row r="252" ht="15.75"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row>
    <row r="253" ht="15.75"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row>
    <row r="254" ht="15.75"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row>
    <row r="255" ht="15.75"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row>
    <row r="256" ht="15.75"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row>
    <row r="257" ht="15.75"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row>
    <row r="258" ht="15.75"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row>
    <row r="259" ht="15.75"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row>
    <row r="260" ht="15.75"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row>
    <row r="261" ht="15.75"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row>
    <row r="262" ht="15.75"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row>
    <row r="263" ht="15.75"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row>
    <row r="264" ht="15.75"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row>
    <row r="265" ht="15.75"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row>
    <row r="266" ht="15.75"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row>
    <row r="267" ht="15.75"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row>
    <row r="268" ht="15.75"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row>
    <row r="269" ht="15.75"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row>
    <row r="270" ht="15.75"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row>
    <row r="271" ht="15.75"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row>
    <row r="272" ht="15.75"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row>
    <row r="273" ht="15.75"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row>
    <row r="274" ht="15.75"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row>
    <row r="275" ht="15.75"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row>
    <row r="276" ht="15.75"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row>
    <row r="277" ht="15.75"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row>
    <row r="278" ht="15.75"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row>
    <row r="279" ht="15.75"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row>
    <row r="280" ht="15.75"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row>
    <row r="281" ht="15.75"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row>
    <row r="282" ht="15.75"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row>
    <row r="283" ht="15.75"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row>
    <row r="284" ht="15.75"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row>
    <row r="285" ht="15.75"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row>
    <row r="286" ht="15.75"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row>
    <row r="287" ht="15.75"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row>
    <row r="288" ht="15.75"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row>
    <row r="289" ht="15.75"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row>
    <row r="290" ht="15.75"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row>
    <row r="291" ht="15.75"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row>
    <row r="292" ht="15.75"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row>
    <row r="293" ht="15.75"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row>
    <row r="294" ht="15.75"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row>
    <row r="295" ht="15.75"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row>
    <row r="296" ht="15.75"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row>
    <row r="297" ht="15.75"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row>
    <row r="298" ht="15.75"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row>
    <row r="299" ht="15.75"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row>
    <row r="300" ht="15.75"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row>
    <row r="301" ht="15.75"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row>
    <row r="302" ht="15.75"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row>
    <row r="303" ht="15.75"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row>
    <row r="304" ht="15.75"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row>
    <row r="305" ht="15.75"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row>
    <row r="306" ht="15.75"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row>
    <row r="307" ht="15.75" customHeight="1">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row>
    <row r="308" ht="15.75" customHeight="1">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row>
    <row r="309" ht="15.75" customHeight="1">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row>
    <row r="310" ht="15.75" customHeight="1">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row>
    <row r="311" ht="15.75" customHeight="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row>
    <row r="312" ht="15.75" customHeight="1">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row>
    <row r="313" ht="15.75" customHeight="1">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row>
    <row r="314" ht="15.75" customHeight="1">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row>
    <row r="315" ht="15.75" customHeight="1">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row>
    <row r="316" ht="15.75" customHeight="1">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row>
    <row r="317" ht="15.75" customHeight="1">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row>
    <row r="318" ht="15.75" customHeight="1">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row>
    <row r="319" ht="15.75" customHeight="1">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row>
    <row r="320" ht="15.75" customHeight="1">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row>
    <row r="321" ht="15.75" customHeight="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row>
    <row r="322" ht="15.75" customHeight="1">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row>
    <row r="323" ht="15.75" customHeight="1">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row>
    <row r="324" ht="15.75" customHeight="1">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row>
    <row r="325" ht="15.75" customHeight="1">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row>
    <row r="326" ht="15.75" customHeight="1">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row>
    <row r="327" ht="15.75" customHeight="1">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row>
    <row r="328" ht="15.75" customHeight="1">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row>
    <row r="329" ht="15.75" customHeight="1">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row>
    <row r="330" ht="15.75" customHeight="1">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row>
    <row r="331" ht="15.75" customHeight="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row>
    <row r="332" ht="15.75" customHeight="1">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row>
    <row r="333" ht="15.75" customHeight="1">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row>
    <row r="334" ht="15.75" customHeight="1">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row>
    <row r="335" ht="15.75" customHeight="1">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row>
    <row r="336" ht="15.75" customHeight="1">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row>
    <row r="337" ht="15.75" customHeight="1">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row>
    <row r="338" ht="15.75" customHeight="1">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row>
    <row r="339" ht="15.75" customHeight="1">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row>
    <row r="340" ht="15.75" customHeight="1">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row>
    <row r="341" ht="15.75" customHeight="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row>
    <row r="342" ht="15.75" customHeight="1">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row>
    <row r="343" ht="15.75" customHeight="1">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row>
    <row r="344" ht="15.75" customHeight="1">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row>
    <row r="345" ht="15.75" customHeight="1">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row>
    <row r="346" ht="15.75" customHeight="1">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row>
    <row r="347" ht="15.75" customHeight="1">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row>
    <row r="348" ht="15.75" customHeight="1">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row>
    <row r="349" ht="15.75" customHeight="1">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row>
    <row r="350" ht="15.75" customHeight="1">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row>
    <row r="351" ht="15.75" customHeight="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row>
    <row r="352" ht="15.75" customHeight="1">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row>
    <row r="353" ht="15.75" customHeight="1">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row>
    <row r="354" ht="15.75" customHeight="1">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row>
    <row r="355" ht="15.75" customHeight="1">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row>
    <row r="356" ht="15.75" customHeight="1">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row>
    <row r="357" ht="15.75" customHeight="1">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row>
    <row r="358" ht="15.75" customHeight="1">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row>
    <row r="359" ht="15.75" customHeight="1">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row>
    <row r="360" ht="15.75" customHeight="1">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row>
    <row r="361" ht="15.75" customHeight="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row>
    <row r="362" ht="15.75" customHeight="1">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row>
    <row r="363" ht="15.75" customHeight="1">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row>
    <row r="364" ht="15.75" customHeight="1">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row>
    <row r="365" ht="15.75" customHeight="1">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row>
    <row r="366" ht="15.75" customHeight="1">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row>
    <row r="367" ht="15.75" customHeight="1">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row>
    <row r="368" ht="15.75" customHeight="1">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row>
    <row r="369" ht="15.75" customHeight="1">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row>
    <row r="370" ht="15.75" customHeight="1">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row>
    <row r="371" ht="15.75" customHeight="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row>
    <row r="372" ht="15.75" customHeight="1">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row>
    <row r="373" ht="15.75" customHeight="1">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row>
    <row r="374" ht="15.75" customHeight="1">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row>
    <row r="375" ht="15.75" customHeight="1">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row>
    <row r="376" ht="15.75" customHeight="1">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row>
    <row r="377" ht="15.75" customHeight="1">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row>
    <row r="378" ht="15.75" customHeight="1">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row>
    <row r="379" ht="15.75" customHeight="1">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row>
    <row r="380" ht="15.75" customHeight="1">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row>
    <row r="381" ht="15.75" customHeight="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row>
    <row r="382" ht="15.75" customHeight="1">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row>
    <row r="383" ht="15.75" customHeight="1">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row>
    <row r="384" ht="15.75" customHeight="1">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row>
    <row r="385" ht="15.75" customHeight="1">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row>
    <row r="386" ht="15.75" customHeight="1">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row>
    <row r="387" ht="15.75" customHeight="1">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row>
    <row r="388" ht="15.75" customHeight="1">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row>
    <row r="389" ht="15.75" customHeight="1">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row>
    <row r="390" ht="15.75" customHeight="1">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row>
    <row r="391" ht="15.75" customHeight="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row>
    <row r="392" ht="15.75" customHeight="1">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row>
    <row r="393" ht="15.75" customHeight="1">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row>
    <row r="394" ht="15.75" customHeight="1">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row>
    <row r="395" ht="15.75" customHeight="1">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row>
    <row r="396" ht="15.75" customHeight="1">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row>
    <row r="397" ht="15.75" customHeight="1">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row>
    <row r="398" ht="15.75" customHeight="1">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row>
    <row r="399" ht="15.75" customHeight="1">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row>
    <row r="400" ht="15.75" customHeight="1">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row>
    <row r="401" ht="15.75" customHeight="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row>
    <row r="402" ht="15.75" customHeight="1">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row>
    <row r="403" ht="15.75" customHeight="1">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row>
    <row r="404" ht="15.75" customHeight="1">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row>
    <row r="405" ht="15.75" customHeight="1">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row>
    <row r="406" ht="15.75" customHeight="1">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row>
    <row r="407" ht="15.75" customHeight="1">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row>
    <row r="408" ht="15.75" customHeight="1">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row>
    <row r="409" ht="15.75" customHeight="1">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row>
    <row r="410" ht="15.75" customHeight="1">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row>
    <row r="411" ht="15.75" customHeight="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row>
    <row r="412" ht="15.75" customHeight="1">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row>
    <row r="413" ht="15.75" customHeight="1">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row>
    <row r="414" ht="15.75" customHeight="1">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row>
    <row r="415" ht="15.75" customHeight="1">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row>
    <row r="416" ht="15.75" customHeight="1">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row>
    <row r="417" ht="15.75" customHeight="1">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row>
    <row r="418" ht="15.75" customHeight="1">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row>
    <row r="419" ht="15.75" customHeight="1">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row>
    <row r="420" ht="15.75" customHeight="1">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row>
    <row r="421" ht="15.75" customHeight="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row>
    <row r="422" ht="15.75" customHeight="1">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row>
    <row r="423" ht="15.75" customHeight="1">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row>
    <row r="424" ht="15.75" customHeight="1">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row>
    <row r="425" ht="15.75" customHeight="1">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row>
    <row r="426" ht="15.75" customHeight="1">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row>
    <row r="427" ht="15.75" customHeight="1">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row>
    <row r="428" ht="15.75" customHeight="1">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row>
    <row r="429" ht="15.75" customHeight="1">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row>
    <row r="430" ht="15.75" customHeight="1">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row>
    <row r="431" ht="15.75" customHeight="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row>
    <row r="432" ht="15.75" customHeight="1">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row>
    <row r="433" ht="15.75" customHeight="1">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row>
    <row r="434" ht="15.75" customHeight="1">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row>
    <row r="435" ht="15.75" customHeight="1">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row>
    <row r="436" ht="15.75" customHeight="1">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row>
    <row r="437" ht="15.75" customHeight="1">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row>
    <row r="438" ht="15.75" customHeight="1">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row>
    <row r="439" ht="15.75" customHeight="1">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row>
    <row r="440" ht="15.75" customHeight="1">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row>
    <row r="441" ht="15.75" customHeight="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row>
    <row r="442" ht="15.75" customHeight="1">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row>
    <row r="443" ht="15.75" customHeight="1">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row>
    <row r="444" ht="15.75" customHeight="1">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row>
    <row r="445" ht="15.75" customHeight="1">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row>
    <row r="446" ht="15.75" customHeight="1">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row>
    <row r="447" ht="15.75" customHeight="1">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row>
    <row r="448" ht="15.75" customHeight="1">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row>
    <row r="449" ht="15.75" customHeight="1">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row>
    <row r="450" ht="15.75" customHeight="1">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row>
    <row r="451" ht="15.75" customHeight="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row>
    <row r="452" ht="15.75" customHeight="1">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row>
    <row r="453" ht="15.75" customHeight="1">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row>
    <row r="454" ht="15.75" customHeight="1">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row>
    <row r="455" ht="15.75" customHeight="1">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row>
    <row r="456" ht="15.75" customHeight="1">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row>
    <row r="457" ht="15.75" customHeight="1">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row>
    <row r="458" ht="15.75" customHeight="1">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row>
    <row r="459" ht="15.75" customHeight="1">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row>
    <row r="460" ht="15.75" customHeight="1">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row>
    <row r="461" ht="15.75" customHeight="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row>
    <row r="462" ht="15.75" customHeight="1">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row>
    <row r="463" ht="15.75" customHeight="1">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row>
    <row r="464" ht="15.75" customHeight="1">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row>
    <row r="465" ht="15.75" customHeight="1">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row>
    <row r="466" ht="15.75" customHeight="1">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row>
    <row r="467" ht="15.75" customHeight="1">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row>
    <row r="468" ht="15.75" customHeight="1">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row>
    <row r="469" ht="15.75" customHeight="1">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row>
    <row r="470" ht="15.75" customHeight="1">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row>
    <row r="471" ht="15.75" customHeight="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row>
    <row r="472" ht="15.75" customHeight="1">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row>
    <row r="473" ht="15.75" customHeight="1">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row>
    <row r="474" ht="15.75" customHeight="1">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row>
    <row r="475" ht="15.75" customHeight="1">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row>
    <row r="476" ht="15.75" customHeight="1">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row>
    <row r="477" ht="15.75" customHeight="1">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row>
    <row r="478" ht="15.75" customHeight="1">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row>
    <row r="479" ht="15.75" customHeight="1">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row>
    <row r="480" ht="15.75" customHeight="1">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row>
    <row r="481" ht="15.75" customHeight="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row>
    <row r="482" ht="15.75" customHeight="1">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row>
    <row r="483" ht="15.75" customHeight="1">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row>
    <row r="484" ht="15.75" customHeight="1">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row>
    <row r="485" ht="15.75" customHeight="1">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row>
    <row r="486" ht="15.75" customHeight="1">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row>
    <row r="487" ht="15.75" customHeight="1">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row>
    <row r="488" ht="15.75" customHeight="1">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row>
    <row r="489" ht="15.75" customHeight="1">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row>
    <row r="490" ht="15.75" customHeight="1">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row>
    <row r="491" ht="15.75" customHeight="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row>
    <row r="492" ht="15.75" customHeight="1">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row>
    <row r="493" ht="15.75" customHeight="1">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row>
    <row r="494" ht="15.75" customHeight="1">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row>
    <row r="495" ht="15.75" customHeight="1">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row>
    <row r="496" ht="15.75" customHeight="1">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row>
    <row r="497" ht="15.75" customHeight="1">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row>
    <row r="498" ht="15.75" customHeight="1">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row>
    <row r="499" ht="15.75" customHeight="1">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row>
    <row r="500" ht="15.75" customHeight="1">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row>
    <row r="501" ht="15.75" customHeight="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row>
    <row r="502" ht="15.75" customHeight="1">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row>
    <row r="503" ht="15.75" customHeight="1">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row>
    <row r="504" ht="15.75" customHeight="1">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row>
    <row r="505" ht="15.75" customHeight="1">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row>
    <row r="506" ht="15.75" customHeight="1">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row>
    <row r="507" ht="15.75" customHeight="1">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row>
    <row r="508" ht="15.75" customHeight="1">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row>
    <row r="509" ht="15.75" customHeight="1">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row>
    <row r="510" ht="15.75" customHeight="1">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row>
    <row r="511" ht="15.75" customHeight="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row>
    <row r="512" ht="15.75" customHeight="1">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row>
    <row r="513" ht="15.75" customHeight="1">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row>
    <row r="514" ht="15.75" customHeight="1">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row>
    <row r="515" ht="15.75" customHeight="1">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row>
    <row r="516" ht="15.75" customHeight="1">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row>
    <row r="517" ht="15.75" customHeight="1">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row>
    <row r="518" ht="15.75" customHeight="1">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row>
    <row r="519" ht="15.75" customHeight="1">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row>
    <row r="520" ht="15.75" customHeight="1">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row>
    <row r="521" ht="15.75" customHeight="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row>
    <row r="522" ht="15.75" customHeight="1">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row>
    <row r="523" ht="15.75" customHeight="1">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row>
    <row r="524" ht="15.75" customHeight="1">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row>
    <row r="525" ht="15.75" customHeight="1">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row>
    <row r="526" ht="15.75" customHeight="1">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row>
    <row r="527" ht="15.75" customHeight="1">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row>
    <row r="528" ht="15.75" customHeight="1">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row>
    <row r="529" ht="15.75" customHeight="1">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row>
    <row r="530" ht="15.75" customHeight="1">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row>
    <row r="531" ht="15.75" customHeight="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row>
    <row r="532" ht="15.75" customHeight="1">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row>
    <row r="533" ht="15.75" customHeight="1">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row>
    <row r="534" ht="15.75" customHeight="1">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row>
    <row r="535" ht="15.75" customHeight="1">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row>
    <row r="536" ht="15.75" customHeight="1">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row>
    <row r="537" ht="15.75" customHeight="1">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row>
    <row r="538" ht="15.75" customHeight="1">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row>
    <row r="539" ht="15.75" customHeight="1">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row>
    <row r="540" ht="15.75" customHeight="1">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row>
    <row r="541" ht="15.75" customHeight="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row>
    <row r="542" ht="15.75" customHeight="1">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row>
    <row r="543" ht="15.75" customHeight="1">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row>
    <row r="544" ht="15.75" customHeight="1">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row>
    <row r="545" ht="15.75" customHeight="1">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row>
    <row r="546" ht="15.75" customHeight="1">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row>
    <row r="547" ht="15.75" customHeight="1">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row>
    <row r="548" ht="15.75" customHeight="1">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row>
    <row r="549" ht="15.75" customHeight="1">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row>
    <row r="550" ht="15.75" customHeight="1">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row>
    <row r="551" ht="15.75" customHeight="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row>
    <row r="552" ht="15.75" customHeight="1">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row>
    <row r="553" ht="15.75" customHeight="1">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row>
    <row r="554" ht="15.75" customHeight="1">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row>
    <row r="555" ht="15.75" customHeight="1">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row>
    <row r="556" ht="15.75" customHeight="1">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row>
    <row r="557" ht="15.75" customHeight="1">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row>
    <row r="558" ht="15.75" customHeight="1">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row>
    <row r="559" ht="15.75" customHeight="1">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row>
    <row r="560" ht="15.75" customHeight="1">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row>
    <row r="561" ht="15.75" customHeight="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row>
    <row r="562" ht="15.75" customHeight="1">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row>
    <row r="563" ht="15.75" customHeight="1">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row>
    <row r="564" ht="15.75" customHeight="1">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row>
    <row r="565" ht="15.75" customHeight="1">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row>
    <row r="566" ht="15.75" customHeight="1">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row>
    <row r="567" ht="15.75" customHeight="1">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row>
    <row r="568" ht="15.75" customHeight="1">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row>
    <row r="569" ht="15.75" customHeight="1">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row>
    <row r="570" ht="15.75" customHeight="1">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row>
    <row r="571" ht="15.75" customHeight="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row>
    <row r="572" ht="15.75" customHeight="1">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row>
    <row r="573" ht="15.75" customHeight="1">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row>
    <row r="574" ht="15.75" customHeight="1">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row>
    <row r="575" ht="15.75" customHeight="1">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row>
    <row r="576" ht="15.75" customHeight="1">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row>
    <row r="577" ht="15.75" customHeight="1">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row>
    <row r="578" ht="15.75" customHeight="1">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row>
    <row r="579" ht="15.75" customHeight="1">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row>
    <row r="580" ht="15.75" customHeight="1">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row>
    <row r="581" ht="15.75" customHeight="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row>
    <row r="582" ht="15.75" customHeight="1">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row>
    <row r="583" ht="15.75" customHeight="1">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row>
    <row r="584" ht="15.75" customHeight="1">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row>
    <row r="585" ht="15.75" customHeight="1">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row>
    <row r="586" ht="15.75" customHeight="1">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row>
    <row r="587" ht="15.75" customHeight="1">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row>
    <row r="588" ht="15.75" customHeight="1">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row>
    <row r="589" ht="15.75" customHeight="1">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row>
    <row r="590" ht="15.75" customHeight="1">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row>
    <row r="591" ht="15.75" customHeight="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row>
    <row r="592" ht="15.75" customHeight="1">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row>
    <row r="593" ht="15.75" customHeight="1">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row>
    <row r="594" ht="15.75" customHeight="1">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row>
    <row r="595" ht="15.75" customHeight="1">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row>
    <row r="596" ht="15.75" customHeight="1">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row>
    <row r="597" ht="15.75" customHeight="1">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row>
    <row r="598" ht="15.75" customHeight="1">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row>
    <row r="599" ht="15.75" customHeight="1">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row>
    <row r="600" ht="15.75" customHeight="1">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row>
    <row r="601" ht="15.75" customHeight="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row>
    <row r="602" ht="15.75" customHeight="1">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row>
    <row r="603" ht="15.75" customHeight="1">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row>
    <row r="604" ht="15.75" customHeight="1">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row>
    <row r="605" ht="15.75" customHeight="1">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row>
    <row r="606" ht="15.75" customHeight="1">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row>
    <row r="607" ht="15.75" customHeight="1">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row>
    <row r="608" ht="15.75" customHeight="1">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row>
    <row r="609" ht="15.75" customHeight="1">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row>
    <row r="610" ht="15.75" customHeight="1">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row>
    <row r="611" ht="15.75" customHeight="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row>
    <row r="612" ht="15.75" customHeight="1">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row>
    <row r="613" ht="15.75" customHeight="1">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row>
    <row r="614" ht="15.75" customHeight="1">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row>
    <row r="615" ht="15.75" customHeight="1">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row>
    <row r="616" ht="15.75" customHeight="1">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row>
    <row r="617" ht="15.75" customHeight="1">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row>
    <row r="618" ht="15.75" customHeight="1">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row>
    <row r="619" ht="15.75" customHeight="1">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row>
    <row r="620" ht="15.75" customHeight="1">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row>
    <row r="621" ht="15.75" customHeight="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row>
    <row r="622" ht="15.75" customHeight="1">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row>
    <row r="623" ht="15.75" customHeight="1">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row>
    <row r="624" ht="15.75" customHeight="1">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row>
    <row r="625" ht="15.75" customHeight="1">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row>
    <row r="626" ht="15.75" customHeight="1">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row>
    <row r="627" ht="15.75" customHeight="1">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row>
    <row r="628" ht="15.75" customHeight="1">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row>
    <row r="629" ht="15.75" customHeight="1">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row>
    <row r="630" ht="15.75" customHeight="1">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row>
    <row r="631" ht="15.75" customHeight="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row>
    <row r="632" ht="15.75" customHeight="1">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row>
    <row r="633" ht="15.75" customHeight="1">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row>
    <row r="634" ht="15.75" customHeight="1">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row>
    <row r="635" ht="15.75" customHeight="1">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row>
    <row r="636" ht="15.75" customHeight="1">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row>
    <row r="637" ht="15.75" customHeight="1">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row>
    <row r="638" ht="15.75" customHeight="1">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row>
    <row r="639" ht="15.75" customHeight="1">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row>
    <row r="640" ht="15.75" customHeight="1">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row>
    <row r="641" ht="15.75" customHeight="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row>
    <row r="642" ht="15.75" customHeight="1">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row>
    <row r="643" ht="15.75" customHeight="1">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row>
    <row r="644" ht="15.75" customHeight="1">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row>
    <row r="645" ht="15.75" customHeight="1">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row>
    <row r="646" ht="15.75" customHeight="1">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row>
    <row r="647" ht="15.75" customHeight="1">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row>
    <row r="648" ht="15.75" customHeight="1">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row>
    <row r="649" ht="15.75" customHeight="1">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row>
    <row r="650" ht="15.75" customHeight="1">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row>
    <row r="651" ht="15.75" customHeight="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row>
    <row r="652" ht="15.75" customHeight="1">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row>
    <row r="653" ht="15.75" customHeight="1">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row>
    <row r="654" ht="15.75" customHeight="1">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row>
    <row r="655" ht="15.75" customHeight="1">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row>
    <row r="656" ht="15.75" customHeight="1">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row>
    <row r="657" ht="15.75" customHeight="1">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row>
    <row r="658" ht="15.75" customHeight="1">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row>
    <row r="659" ht="15.75" customHeight="1">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row>
    <row r="660" ht="15.75" customHeight="1">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row>
    <row r="661" ht="15.75" customHeight="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row>
    <row r="662" ht="15.75" customHeight="1">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row>
    <row r="663" ht="15.75" customHeight="1">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row>
    <row r="664" ht="15.75" customHeight="1">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row>
    <row r="665" ht="15.75" customHeight="1">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row>
    <row r="666" ht="15.75" customHeight="1">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row>
    <row r="667" ht="15.75" customHeight="1">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row>
    <row r="668" ht="15.75" customHeight="1">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row>
    <row r="669" ht="15.75" customHeight="1">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row>
    <row r="670" ht="15.75" customHeight="1">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row>
    <row r="671" ht="15.75" customHeight="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row>
    <row r="672" ht="15.75" customHeight="1">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row>
    <row r="673" ht="15.75" customHeight="1">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row>
    <row r="674" ht="15.75" customHeight="1">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row>
    <row r="675" ht="15.75" customHeight="1">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row>
    <row r="676" ht="15.75" customHeight="1">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row>
    <row r="677" ht="15.75" customHeight="1">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row>
    <row r="678" ht="15.75" customHeight="1">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row>
    <row r="679" ht="15.75" customHeight="1">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row>
    <row r="680" ht="15.75" customHeight="1">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row>
    <row r="681" ht="15.75" customHeight="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row>
    <row r="682" ht="15.75" customHeight="1">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row>
    <row r="683" ht="15.75" customHeight="1">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row>
    <row r="684" ht="15.75" customHeight="1">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row>
    <row r="685" ht="15.75" customHeight="1">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row>
    <row r="686" ht="15.75" customHeight="1">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row>
    <row r="687" ht="15.75" customHeight="1">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row>
    <row r="688" ht="15.75" customHeight="1">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row>
    <row r="689" ht="15.75" customHeight="1">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row>
    <row r="690" ht="15.75" customHeight="1">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row>
    <row r="691" ht="15.75" customHeight="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row>
    <row r="692" ht="15.75" customHeight="1">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row>
    <row r="693" ht="15.75" customHeight="1">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row>
    <row r="694" ht="15.75" customHeight="1">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row>
    <row r="695" ht="15.75" customHeight="1">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row>
    <row r="696" ht="15.75" customHeight="1">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row>
    <row r="697" ht="15.75" customHeight="1">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row>
    <row r="698" ht="15.75" customHeight="1">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row>
    <row r="699" ht="15.75" customHeight="1">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row>
    <row r="700" ht="15.75" customHeight="1">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row>
    <row r="701" ht="15.75" customHeight="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row>
    <row r="702" ht="15.75" customHeight="1">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row>
    <row r="703" ht="15.75" customHeight="1">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row>
    <row r="704" ht="15.75" customHeight="1">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row>
    <row r="705" ht="15.75" customHeight="1">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row>
    <row r="706" ht="15.75" customHeight="1">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row>
    <row r="707" ht="15.75" customHeight="1">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row>
    <row r="708" ht="15.75" customHeight="1">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row>
    <row r="709" ht="15.75" customHeight="1">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row>
    <row r="710" ht="15.75" customHeight="1">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row>
    <row r="711" ht="15.75" customHeight="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row>
    <row r="712" ht="15.75" customHeight="1">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row>
    <row r="713" ht="15.75" customHeight="1">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row>
    <row r="714" ht="15.75" customHeight="1">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row>
    <row r="715" ht="15.75" customHeight="1">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row>
    <row r="716" ht="15.75" customHeight="1">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row>
    <row r="717" ht="15.75" customHeight="1">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row>
    <row r="718" ht="15.75" customHeight="1">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row>
    <row r="719" ht="15.75" customHeight="1">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row>
    <row r="720" ht="15.75" customHeight="1">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row>
    <row r="721" ht="15.75" customHeight="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row>
    <row r="722" ht="15.75" customHeight="1">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row>
    <row r="723" ht="15.75" customHeight="1">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row>
    <row r="724" ht="15.75" customHeight="1">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row>
    <row r="725" ht="15.75" customHeight="1">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row>
    <row r="726" ht="15.75" customHeight="1">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row>
    <row r="727" ht="15.75" customHeight="1">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row>
    <row r="728" ht="15.75" customHeight="1">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row>
    <row r="729" ht="15.75" customHeight="1">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row>
    <row r="730" ht="15.75" customHeight="1">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row>
    <row r="731" ht="15.75" customHeight="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row>
    <row r="732" ht="15.75" customHeight="1">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row>
    <row r="733" ht="15.75" customHeight="1">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row>
    <row r="734" ht="15.75" customHeight="1">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row>
    <row r="735" ht="15.75" customHeight="1">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row>
    <row r="736" ht="15.75" customHeight="1">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row>
    <row r="737" ht="15.75" customHeight="1">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row>
    <row r="738" ht="15.75" customHeight="1">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row>
    <row r="739" ht="15.75" customHeight="1">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row>
    <row r="740" ht="15.75" customHeight="1">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row>
    <row r="741" ht="15.75" customHeight="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row>
    <row r="742" ht="15.75" customHeight="1">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row>
    <row r="743" ht="15.75" customHeight="1">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row>
    <row r="744" ht="15.75" customHeight="1">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row>
    <row r="745" ht="15.75" customHeight="1">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row>
    <row r="746" ht="15.75" customHeight="1">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row>
    <row r="747" ht="15.75" customHeight="1">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row>
    <row r="748" ht="15.75" customHeight="1">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row>
    <row r="749" ht="15.75" customHeight="1">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row>
    <row r="750" ht="15.75" customHeight="1">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row>
    <row r="751" ht="15.75" customHeight="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row>
    <row r="752" ht="15.75" customHeight="1">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row>
    <row r="753" ht="15.75" customHeight="1">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row>
    <row r="754" ht="15.75" customHeight="1">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row>
    <row r="755" ht="15.75" customHeight="1">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row>
    <row r="756" ht="15.75" customHeight="1">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row>
    <row r="757" ht="15.75" customHeight="1">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row>
    <row r="758" ht="15.75" customHeight="1">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row>
    <row r="759" ht="15.75" customHeight="1">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row>
    <row r="760" ht="15.75" customHeight="1">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row>
    <row r="761" ht="15.75" customHeight="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row>
    <row r="762" ht="15.75" customHeight="1">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row>
    <row r="763" ht="15.75" customHeight="1">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row>
    <row r="764" ht="15.75" customHeight="1">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row>
    <row r="765" ht="15.75" customHeight="1">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row>
    <row r="766" ht="15.75" customHeight="1">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row>
    <row r="767" ht="15.75" customHeight="1">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row>
    <row r="768" ht="15.75" customHeight="1">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row>
    <row r="769" ht="15.75" customHeight="1">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row>
    <row r="770" ht="15.75" customHeight="1">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row>
    <row r="771" ht="15.75" customHeight="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row>
    <row r="772" ht="15.75" customHeight="1">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row>
    <row r="773" ht="15.75" customHeight="1">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row>
    <row r="774" ht="15.75" customHeight="1">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row>
    <row r="775" ht="15.75" customHeight="1">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row>
    <row r="776" ht="15.75" customHeight="1">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row>
    <row r="777" ht="15.75" customHeight="1">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row>
    <row r="778" ht="15.75" customHeight="1">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row>
    <row r="779" ht="15.75" customHeight="1">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row>
    <row r="780" ht="15.75" customHeight="1">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row>
    <row r="781" ht="15.75" customHeight="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row>
    <row r="782" ht="15.75" customHeight="1">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row>
    <row r="783" ht="15.75" customHeight="1">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row>
    <row r="784" ht="15.75" customHeight="1">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row>
    <row r="785" ht="15.75" customHeight="1">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row>
    <row r="786" ht="15.75" customHeight="1">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row>
    <row r="787" ht="15.75" customHeight="1">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row>
    <row r="788" ht="15.75" customHeight="1">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row>
    <row r="789" ht="15.75" customHeight="1">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row>
    <row r="790" ht="15.75" customHeight="1">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row>
    <row r="791" ht="15.75" customHeight="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row>
    <row r="792" ht="15.75" customHeight="1">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row>
    <row r="793" ht="15.75" customHeight="1">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row>
    <row r="794" ht="15.75" customHeight="1">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row>
    <row r="795" ht="15.75" customHeight="1">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row>
    <row r="796" ht="15.75" customHeight="1">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row>
    <row r="797" ht="15.75" customHeight="1">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row>
    <row r="798" ht="15.75" customHeight="1">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row>
    <row r="799" ht="15.75" customHeight="1">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row>
    <row r="800" ht="15.75" customHeight="1">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row>
    <row r="801" ht="15.75" customHeight="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row>
    <row r="802" ht="15.75" customHeight="1">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row>
    <row r="803" ht="15.75" customHeight="1">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row>
    <row r="804" ht="15.75" customHeight="1">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row>
    <row r="805" ht="15.75" customHeight="1">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row>
    <row r="806" ht="15.75" customHeight="1">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row>
    <row r="807" ht="15.75" customHeight="1">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row>
    <row r="808" ht="15.75" customHeight="1">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row>
    <row r="809" ht="15.75" customHeight="1">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row>
    <row r="810" ht="15.75" customHeight="1">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row>
    <row r="811" ht="15.75" customHeight="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row>
    <row r="812" ht="15.75" customHeight="1">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row>
    <row r="813" ht="15.75" customHeight="1">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row>
    <row r="814" ht="15.75" customHeight="1">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row>
    <row r="815" ht="15.75" customHeight="1">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row>
    <row r="816" ht="15.75" customHeight="1">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row>
    <row r="817" ht="15.75" customHeight="1">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row>
    <row r="818" ht="15.75" customHeight="1">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row>
    <row r="819" ht="15.75" customHeight="1">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row>
    <row r="820" ht="15.75" customHeight="1">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row>
    <row r="821" ht="15.75" customHeight="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row>
    <row r="822" ht="15.75" customHeight="1">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row>
    <row r="823" ht="15.75" customHeight="1">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row>
    <row r="824" ht="15.75" customHeight="1">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row>
    <row r="825" ht="15.75" customHeight="1">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row>
    <row r="826" ht="15.75" customHeight="1">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row>
    <row r="827" ht="15.75" customHeight="1">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row>
    <row r="828" ht="15.75" customHeight="1">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row>
    <row r="829" ht="15.75" customHeight="1">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row>
    <row r="830" ht="15.75" customHeight="1">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row>
    <row r="831" ht="15.75" customHeight="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row>
    <row r="832" ht="15.75" customHeight="1">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row>
    <row r="833" ht="15.75" customHeight="1">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row>
    <row r="834" ht="15.75" customHeight="1">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row>
    <row r="835" ht="15.75" customHeight="1">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row>
    <row r="836" ht="15.75" customHeight="1">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row>
    <row r="837" ht="15.75" customHeight="1">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row>
    <row r="838" ht="15.75" customHeight="1">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row>
    <row r="839" ht="15.75" customHeight="1">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row>
    <row r="840" ht="15.75" customHeight="1">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row>
    <row r="841" ht="15.75" customHeight="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row>
    <row r="842" ht="15.75" customHeight="1">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row>
    <row r="843" ht="15.75" customHeight="1">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row>
    <row r="844" ht="15.75" customHeight="1">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row>
    <row r="845" ht="15.75" customHeight="1">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row>
    <row r="846" ht="15.75" customHeight="1">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row>
    <row r="847" ht="15.75" customHeight="1">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row>
    <row r="848" ht="15.75" customHeight="1">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row>
    <row r="849" ht="15.75" customHeight="1">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row>
    <row r="850" ht="15.75" customHeight="1">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row>
    <row r="851" ht="15.75" customHeight="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row>
    <row r="852" ht="15.75" customHeight="1">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row>
    <row r="853" ht="15.75" customHeight="1">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row>
    <row r="854" ht="15.75" customHeight="1">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row>
    <row r="855" ht="15.75" customHeight="1">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row>
    <row r="856" ht="15.75" customHeight="1">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row>
    <row r="857" ht="15.75" customHeight="1">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row>
    <row r="858" ht="15.75" customHeight="1">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row>
    <row r="859" ht="15.75" customHeight="1">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row>
    <row r="860" ht="15.75" customHeight="1">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row>
    <row r="861" ht="15.75" customHeight="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row>
    <row r="862" ht="15.75" customHeight="1">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row>
    <row r="863" ht="15.75" customHeight="1">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row>
    <row r="864" ht="15.75" customHeight="1">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row>
    <row r="865" ht="15.75" customHeight="1">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row>
    <row r="866" ht="15.75" customHeight="1">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row>
    <row r="867" ht="15.75" customHeight="1">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row>
    <row r="868" ht="15.75" customHeight="1">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row>
    <row r="869" ht="15.75" customHeight="1">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row>
    <row r="870" ht="15.75" customHeight="1">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row>
    <row r="871" ht="15.75" customHeight="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row>
    <row r="872" ht="15.75" customHeight="1">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row>
    <row r="873" ht="15.75" customHeight="1">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row>
    <row r="874" ht="15.75" customHeight="1">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row>
    <row r="875" ht="15.75" customHeight="1">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row>
    <row r="876" ht="15.75" customHeight="1">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row>
    <row r="877" ht="15.75" customHeight="1">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row>
    <row r="878" ht="15.75" customHeight="1">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row>
    <row r="879" ht="15.75" customHeight="1">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row>
    <row r="880" ht="15.75" customHeight="1">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row>
    <row r="881" ht="15.75" customHeight="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row>
    <row r="882" ht="15.75" customHeight="1">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row>
    <row r="883" ht="15.75" customHeight="1">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row>
    <row r="884" ht="15.75" customHeight="1">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row>
    <row r="885" ht="15.75" customHeight="1">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row>
    <row r="886" ht="15.75" customHeight="1">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row>
    <row r="887" ht="15.75" customHeight="1">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row>
    <row r="888" ht="15.75" customHeight="1">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row>
    <row r="889" ht="15.75" customHeight="1">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row>
    <row r="890" ht="15.75" customHeight="1">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row>
    <row r="891" ht="15.75" customHeight="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row>
    <row r="892" ht="15.75" customHeight="1">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row>
    <row r="893" ht="15.75" customHeight="1">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row>
    <row r="894" ht="15.75" customHeight="1">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row>
    <row r="895" ht="15.75" customHeight="1">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row>
    <row r="896" ht="15.75" customHeight="1">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row>
    <row r="897" ht="15.75" customHeight="1">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row>
    <row r="898" ht="15.75" customHeight="1">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row>
    <row r="899" ht="15.75" customHeight="1">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row>
    <row r="900" ht="15.75" customHeight="1">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row>
    <row r="901" ht="15.75" customHeight="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row>
    <row r="902" ht="15.75" customHeight="1">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row>
    <row r="903" ht="15.75" customHeight="1">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row>
    <row r="904" ht="15.75" customHeight="1">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row>
    <row r="905" ht="15.75" customHeight="1">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row>
    <row r="906" ht="15.75" customHeight="1">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row>
    <row r="907" ht="15.75" customHeight="1">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row>
    <row r="908" ht="15.75" customHeight="1">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row>
    <row r="909" ht="15.75" customHeight="1">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row>
    <row r="910" ht="15.75" customHeight="1">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row>
    <row r="911" ht="15.75" customHeight="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row>
    <row r="912" ht="15.75" customHeight="1">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row>
    <row r="913" ht="15.75" customHeight="1">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row>
    <row r="914" ht="15.75" customHeight="1">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row>
    <row r="915" ht="15.75" customHeight="1">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row>
    <row r="916" ht="15.75" customHeight="1">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row>
    <row r="917" ht="15.75" customHeight="1">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row>
    <row r="918" ht="15.75" customHeight="1">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row>
    <row r="919" ht="15.75" customHeight="1">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row>
    <row r="920" ht="15.75" customHeight="1">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row>
    <row r="921" ht="15.75" customHeight="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row>
    <row r="922" ht="15.75" customHeight="1">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row>
    <row r="923" ht="15.75" customHeight="1">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row>
    <row r="924" ht="15.75" customHeight="1">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row>
    <row r="925" ht="15.75" customHeight="1">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row>
    <row r="926" ht="15.75" customHeight="1">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row>
    <row r="927" ht="15.75" customHeight="1">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row>
    <row r="928" ht="15.75" customHeight="1">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row>
    <row r="929" ht="15.75" customHeight="1">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row>
    <row r="930" ht="15.75" customHeight="1">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row>
    <row r="931" ht="15.75" customHeight="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row>
    <row r="932" ht="15.75" customHeight="1">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row>
    <row r="933" ht="15.75" customHeight="1">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row>
    <row r="934" ht="15.75" customHeight="1">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row>
    <row r="935" ht="15.75" customHeight="1">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row>
    <row r="936" ht="15.75" customHeight="1">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row>
    <row r="937" ht="15.75" customHeight="1">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row>
    <row r="938" ht="15.75" customHeight="1">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row>
    <row r="939" ht="15.75" customHeight="1">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row>
    <row r="940" ht="15.75" customHeight="1">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row>
    <row r="941" ht="15.75" customHeight="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row>
    <row r="942" ht="15.75" customHeight="1">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row>
    <row r="943" ht="15.75" customHeight="1">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row>
    <row r="944" ht="15.75" customHeight="1">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row>
    <row r="945" ht="15.75" customHeight="1">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row>
    <row r="946" ht="15.75" customHeight="1">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row>
    <row r="947" ht="15.75" customHeight="1">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row>
    <row r="948" ht="15.75" customHeight="1">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row>
    <row r="949" ht="15.75" customHeight="1">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row>
    <row r="950" ht="15.75" customHeight="1">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row>
    <row r="951" ht="15.75" customHeight="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row>
    <row r="952" ht="15.75" customHeight="1">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row>
    <row r="953" ht="15.75" customHeight="1">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row>
    <row r="954" ht="15.75" customHeight="1">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row>
    <row r="955" ht="15.75" customHeight="1">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row>
    <row r="956" ht="15.75" customHeight="1">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row>
    <row r="957" ht="15.75" customHeight="1">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row>
    <row r="958" ht="15.75" customHeight="1">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row>
    <row r="959" ht="15.75" customHeight="1">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row>
    <row r="960" ht="15.75" customHeight="1">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row>
    <row r="961" ht="15.75" customHeight="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row>
    <row r="962" ht="15.75" customHeight="1">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row>
    <row r="963" ht="15.75" customHeight="1">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row>
    <row r="964" ht="15.75" customHeight="1">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row>
    <row r="965" ht="15.75" customHeight="1">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row>
    <row r="966" ht="15.75" customHeight="1">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row>
    <row r="967" ht="15.75" customHeight="1">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row>
    <row r="968" ht="15.75" customHeight="1">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row>
    <row r="969" ht="15.75" customHeight="1">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row>
    <row r="970" ht="15.75" customHeight="1">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row>
    <row r="971" ht="15.75" customHeight="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row>
    <row r="972" ht="15.75" customHeight="1">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row>
    <row r="973" ht="15.75" customHeight="1">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row>
    <row r="974" ht="15.75" customHeight="1">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row>
    <row r="975" ht="15.75" customHeight="1">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row>
    <row r="976" ht="15.75" customHeight="1">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row>
    <row r="977" ht="15.75" customHeight="1">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row>
    <row r="978" ht="15.75" customHeight="1">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row>
    <row r="979" ht="15.75" customHeight="1">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row>
    <row r="980" ht="15.75" customHeight="1">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row>
    <row r="981" ht="15.75" customHeight="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row>
    <row r="982" ht="15.75" customHeight="1">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row>
    <row r="983" ht="15.75" customHeight="1">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row>
    <row r="984" ht="15.75" customHeight="1">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row>
    <row r="985" ht="15.75" customHeight="1">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row>
    <row r="986" ht="15.75" customHeight="1">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row>
    <row r="987" ht="15.75" customHeight="1">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row>
    <row r="988" ht="15.75" customHeight="1">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row>
    <row r="989" ht="15.75" customHeight="1">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row>
    <row r="990" ht="15.75" customHeight="1">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row>
    <row r="991" ht="15.75" customHeight="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row>
    <row r="992" ht="15.75" customHeight="1">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row>
    <row r="993" ht="15.75" customHeight="1">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row>
    <row r="994" ht="15.75" customHeight="1">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row>
    <row r="995" ht="15.75" customHeight="1">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row>
    <row r="996" ht="15.75" customHeight="1">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row>
    <row r="997" ht="15.75" customHeight="1">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65"/>
      <c r="AD997" s="165"/>
    </row>
    <row r="998" ht="15.75" customHeight="1">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65"/>
      <c r="AD998" s="165"/>
    </row>
    <row r="999" ht="15.75" customHeight="1">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65"/>
      <c r="AD999" s="165"/>
    </row>
    <row r="1000" ht="15.75" customHeight="1">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65"/>
    </row>
  </sheetData>
  <mergeCells count="7">
    <mergeCell ref="B2:B3"/>
    <mergeCell ref="C2:C3"/>
    <mergeCell ref="D2:D3"/>
    <mergeCell ref="E2:E3"/>
    <mergeCell ref="F2:F3"/>
    <mergeCell ref="G2:J2"/>
    <mergeCell ref="G15:J15"/>
  </mergeCells>
  <conditionalFormatting sqref="B4:C13">
    <cfRule type="notContainsBlanks" dxfId="3" priority="1">
      <formula>LEN(TRIM(B4))&gt;0</formula>
    </cfRule>
  </conditionalFormatting>
  <dataValidations>
    <dataValidation type="list" allowBlank="1" showErrorMessage="1" sqref="E18">
      <formula1>'FILTRE CRITERIS'!$E$27:$E$30</formula1>
    </dataValidation>
    <dataValidation type="list" allowBlank="1" showErrorMessage="1" sqref="E16">
      <formula1>'FILTRE CRITERIS'!$E$5:$E$8</formula1>
    </dataValidation>
    <dataValidation type="list" allowBlank="1" showErrorMessage="1" sqref="E17">
      <formula1>'FILTRE CRITERIS'!$E$16:$E$18</formula1>
    </dataValidation>
    <dataValidation type="list" allowBlank="1" showErrorMessage="1" sqref="E13">
      <formula1>'FILTRE CRITERIS'!$C$98:$C$102</formula1>
    </dataValidation>
    <dataValidation type="list" allowBlank="1" showErrorMessage="1" sqref="E7">
      <formula1>'FILTRE CRITERIS'!$C$37:$C$41</formula1>
    </dataValidation>
    <dataValidation type="list" allowBlank="1" showErrorMessage="1" sqref="E19">
      <formula1>'FILTRE CRITERIS'!$E$37:$E$39</formula1>
    </dataValidation>
    <dataValidation type="list" allowBlank="1" showErrorMessage="1" sqref="E9">
      <formula1>'FILTRE CRITERIS'!$C$57:$C$63</formula1>
    </dataValidation>
    <dataValidation type="list" allowBlank="1" showErrorMessage="1" sqref="E6">
      <formula1>'FILTRE CRITERIS'!$C$27:$C$31</formula1>
    </dataValidation>
    <dataValidation type="list" allowBlank="1" showErrorMessage="1" sqref="E10">
      <formula1>'FILTRE CRITERIS'!$C$67:$C$73</formula1>
    </dataValidation>
    <dataValidation type="list" allowBlank="1" showErrorMessage="1" sqref="E12">
      <formula1>'FILTRE CRITERIS'!$C$87:$C$94</formula1>
    </dataValidation>
    <dataValidation type="list" allowBlank="1" showErrorMessage="1" sqref="E8">
      <formula1>'FILTRE CRITERIS'!$C$47:$C$51</formula1>
    </dataValidation>
    <dataValidation type="list" allowBlank="1" showErrorMessage="1" sqref="E5">
      <formula1>'FILTRE CRITERIS'!$C$16:$C$20</formula1>
    </dataValidation>
    <dataValidation type="list" allowBlank="1" showErrorMessage="1" sqref="E4">
      <formula1>'FILTRE CRITERIS'!$C$5:$C$9</formula1>
    </dataValidation>
    <dataValidation type="list" allowBlank="1" showErrorMessage="1" sqref="E11">
      <formula1>'FILTRE CRITERIS'!$C$77:$C$83</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38"/>
      <c r="B1" s="226"/>
      <c r="C1" s="239"/>
      <c r="D1" s="238"/>
    </row>
    <row r="2" ht="58.5" customHeight="1">
      <c r="A2" s="240"/>
      <c r="B2" s="241" t="s">
        <v>2176</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40"/>
      <c r="B3" s="241" t="s">
        <v>2145</v>
      </c>
      <c r="C3" s="241" t="s">
        <v>2177</v>
      </c>
      <c r="D3" s="30"/>
      <c r="E3" s="31"/>
      <c r="F3" s="43"/>
      <c r="G3" s="43"/>
      <c r="H3" s="43"/>
      <c r="I3" s="43"/>
      <c r="J3" s="43"/>
      <c r="K3" s="43"/>
      <c r="L3" s="43"/>
      <c r="M3" s="43"/>
      <c r="N3" s="43"/>
      <c r="O3" s="43"/>
      <c r="P3" s="43"/>
      <c r="Q3" s="43"/>
      <c r="R3" s="43"/>
      <c r="S3" s="43"/>
      <c r="T3" s="43"/>
      <c r="U3" s="43"/>
      <c r="V3" s="43"/>
      <c r="W3" s="43"/>
      <c r="X3" s="43"/>
      <c r="Y3" s="43"/>
      <c r="Z3" s="43"/>
    </row>
    <row r="4">
      <c r="A4" s="242"/>
      <c r="B4" s="218" t="s">
        <v>18</v>
      </c>
      <c r="C4" s="243" t="s">
        <v>931</v>
      </c>
      <c r="D4" s="30"/>
      <c r="E4" s="31"/>
      <c r="F4" s="244"/>
      <c r="G4" s="244"/>
      <c r="H4" s="244"/>
      <c r="I4" s="244"/>
      <c r="J4" s="244"/>
      <c r="K4" s="244"/>
      <c r="L4" s="244"/>
      <c r="M4" s="244"/>
      <c r="N4" s="244"/>
      <c r="O4" s="244"/>
      <c r="P4" s="244"/>
      <c r="Q4" s="244"/>
      <c r="R4" s="244"/>
      <c r="S4" s="244"/>
      <c r="T4" s="244"/>
      <c r="U4" s="244"/>
      <c r="V4" s="244"/>
      <c r="W4" s="244"/>
      <c r="X4" s="244"/>
      <c r="Y4" s="244"/>
      <c r="Z4" s="244"/>
    </row>
    <row r="5">
      <c r="A5" s="242"/>
      <c r="B5" s="218" t="s">
        <v>18</v>
      </c>
      <c r="C5" s="243" t="s">
        <v>1173</v>
      </c>
      <c r="D5" s="30"/>
      <c r="E5" s="31"/>
      <c r="F5" s="244"/>
      <c r="G5" s="244"/>
      <c r="H5" s="244"/>
      <c r="I5" s="244"/>
      <c r="J5" s="244"/>
      <c r="K5" s="244"/>
      <c r="L5" s="244"/>
      <c r="M5" s="244"/>
      <c r="N5" s="244"/>
      <c r="O5" s="244"/>
      <c r="P5" s="244"/>
      <c r="Q5" s="244"/>
      <c r="R5" s="244"/>
      <c r="S5" s="244"/>
      <c r="T5" s="244"/>
      <c r="U5" s="244"/>
      <c r="V5" s="244"/>
      <c r="W5" s="244"/>
      <c r="X5" s="244"/>
      <c r="Y5" s="244"/>
      <c r="Z5" s="244"/>
    </row>
    <row r="6">
      <c r="A6" s="242"/>
      <c r="B6" s="218" t="s">
        <v>18</v>
      </c>
      <c r="C6" s="243" t="s">
        <v>1228</v>
      </c>
      <c r="D6" s="30"/>
      <c r="E6" s="31"/>
      <c r="F6" s="244"/>
      <c r="G6" s="244"/>
      <c r="H6" s="244"/>
      <c r="I6" s="244"/>
      <c r="J6" s="244"/>
      <c r="K6" s="244"/>
      <c r="L6" s="244"/>
      <c r="M6" s="244"/>
      <c r="N6" s="244"/>
      <c r="O6" s="244"/>
      <c r="P6" s="244"/>
      <c r="Q6" s="244"/>
      <c r="R6" s="244"/>
      <c r="S6" s="244"/>
      <c r="T6" s="244"/>
      <c r="U6" s="244"/>
      <c r="V6" s="244"/>
      <c r="W6" s="244"/>
      <c r="X6" s="244"/>
      <c r="Y6" s="244"/>
      <c r="Z6" s="244"/>
    </row>
    <row r="7">
      <c r="A7" s="242"/>
      <c r="B7" s="218" t="s">
        <v>18</v>
      </c>
      <c r="C7" s="243" t="s">
        <v>1762</v>
      </c>
      <c r="D7" s="30"/>
      <c r="E7" s="31"/>
      <c r="F7" s="244"/>
      <c r="G7" s="244"/>
      <c r="H7" s="244"/>
      <c r="I7" s="244"/>
      <c r="J7" s="244"/>
      <c r="K7" s="244"/>
      <c r="L7" s="244"/>
      <c r="M7" s="244"/>
      <c r="N7" s="244"/>
      <c r="O7" s="244"/>
      <c r="P7" s="244"/>
      <c r="Q7" s="244"/>
      <c r="R7" s="244"/>
      <c r="S7" s="244"/>
      <c r="T7" s="244"/>
      <c r="U7" s="244"/>
      <c r="V7" s="244"/>
      <c r="W7" s="244"/>
      <c r="X7" s="244"/>
      <c r="Y7" s="244"/>
      <c r="Z7" s="244"/>
    </row>
    <row r="8">
      <c r="A8" s="242"/>
      <c r="B8" s="218" t="s">
        <v>18</v>
      </c>
      <c r="C8" s="243" t="s">
        <v>1702</v>
      </c>
      <c r="D8" s="30"/>
      <c r="E8" s="31"/>
      <c r="F8" s="244"/>
      <c r="G8" s="244"/>
      <c r="H8" s="244"/>
      <c r="I8" s="244"/>
      <c r="J8" s="244"/>
      <c r="K8" s="244"/>
      <c r="L8" s="244"/>
      <c r="M8" s="244"/>
      <c r="N8" s="244"/>
      <c r="O8" s="244"/>
      <c r="P8" s="244"/>
      <c r="Q8" s="244"/>
      <c r="R8" s="244"/>
      <c r="S8" s="244"/>
      <c r="T8" s="244"/>
      <c r="U8" s="244"/>
      <c r="V8" s="244"/>
      <c r="W8" s="244"/>
      <c r="X8" s="244"/>
      <c r="Y8" s="244"/>
      <c r="Z8" s="244"/>
    </row>
    <row r="9">
      <c r="A9" s="242"/>
      <c r="B9" s="218"/>
      <c r="C9" s="243"/>
      <c r="D9" s="30"/>
      <c r="E9" s="31"/>
      <c r="F9" s="244"/>
      <c r="G9" s="244"/>
      <c r="H9" s="244"/>
      <c r="I9" s="244"/>
      <c r="J9" s="244"/>
      <c r="K9" s="244"/>
      <c r="L9" s="244"/>
      <c r="M9" s="244"/>
      <c r="N9" s="244"/>
      <c r="O9" s="244"/>
      <c r="P9" s="244"/>
      <c r="Q9" s="244"/>
      <c r="R9" s="244"/>
      <c r="S9" s="244"/>
      <c r="T9" s="244"/>
      <c r="U9" s="244"/>
      <c r="V9" s="244"/>
      <c r="W9" s="244"/>
      <c r="X9" s="244"/>
      <c r="Y9" s="244"/>
      <c r="Z9" s="244"/>
    </row>
    <row r="10">
      <c r="A10" s="242"/>
      <c r="B10" s="218"/>
      <c r="C10" s="243"/>
      <c r="D10" s="30"/>
      <c r="E10" s="31"/>
      <c r="F10" s="244"/>
      <c r="G10" s="244"/>
      <c r="H10" s="244"/>
      <c r="I10" s="244"/>
      <c r="J10" s="244"/>
      <c r="K10" s="244"/>
      <c r="L10" s="244"/>
      <c r="M10" s="244"/>
      <c r="N10" s="244"/>
      <c r="O10" s="244"/>
      <c r="P10" s="244"/>
      <c r="Q10" s="244"/>
      <c r="R10" s="244"/>
      <c r="S10" s="244"/>
      <c r="T10" s="244"/>
      <c r="U10" s="244"/>
      <c r="V10" s="244"/>
      <c r="W10" s="244"/>
      <c r="X10" s="244"/>
      <c r="Y10" s="244"/>
      <c r="Z10" s="244"/>
    </row>
    <row r="11">
      <c r="A11" s="242"/>
      <c r="B11" s="218"/>
      <c r="C11" s="243"/>
      <c r="D11" s="30"/>
      <c r="E11" s="31"/>
      <c r="F11" s="244"/>
      <c r="G11" s="244"/>
      <c r="H11" s="244"/>
      <c r="I11" s="244"/>
      <c r="J11" s="244"/>
      <c r="K11" s="244"/>
      <c r="L11" s="244"/>
      <c r="M11" s="244"/>
      <c r="N11" s="244"/>
      <c r="O11" s="244"/>
      <c r="P11" s="244"/>
      <c r="Q11" s="244"/>
      <c r="R11" s="244"/>
      <c r="S11" s="244"/>
      <c r="T11" s="244"/>
      <c r="U11" s="244"/>
      <c r="V11" s="244"/>
      <c r="W11" s="244"/>
      <c r="X11" s="244"/>
      <c r="Y11" s="244"/>
      <c r="Z11" s="244"/>
    </row>
    <row r="12">
      <c r="A12" s="242"/>
      <c r="B12" s="218"/>
      <c r="C12" s="243"/>
      <c r="D12" s="30"/>
      <c r="E12" s="31"/>
      <c r="F12" s="244"/>
      <c r="G12" s="244"/>
      <c r="H12" s="244"/>
      <c r="I12" s="244"/>
      <c r="J12" s="244"/>
      <c r="K12" s="244"/>
      <c r="L12" s="244"/>
      <c r="M12" s="244"/>
      <c r="N12" s="244"/>
      <c r="O12" s="244"/>
      <c r="P12" s="244"/>
      <c r="Q12" s="244"/>
      <c r="R12" s="244"/>
      <c r="S12" s="244"/>
      <c r="T12" s="244"/>
      <c r="U12" s="244"/>
      <c r="V12" s="244"/>
      <c r="W12" s="244"/>
      <c r="X12" s="244"/>
      <c r="Y12" s="244"/>
      <c r="Z12" s="244"/>
    </row>
    <row r="13">
      <c r="A13" s="242"/>
      <c r="B13" s="218"/>
      <c r="C13" s="243"/>
      <c r="D13" s="30"/>
      <c r="E13" s="31"/>
      <c r="F13" s="244"/>
      <c r="G13" s="244"/>
      <c r="H13" s="244"/>
      <c r="I13" s="244"/>
      <c r="J13" s="244"/>
      <c r="K13" s="244"/>
      <c r="L13" s="244"/>
      <c r="M13" s="244"/>
      <c r="N13" s="244"/>
      <c r="O13" s="244"/>
      <c r="P13" s="244"/>
      <c r="Q13" s="244"/>
      <c r="R13" s="244"/>
      <c r="S13" s="244"/>
      <c r="T13" s="244"/>
      <c r="U13" s="244"/>
      <c r="V13" s="244"/>
      <c r="W13" s="244"/>
      <c r="X13" s="244"/>
      <c r="Y13" s="244"/>
      <c r="Z13" s="244"/>
    </row>
    <row r="14">
      <c r="A14" s="245"/>
      <c r="B14" s="218"/>
      <c r="C14" s="246"/>
      <c r="D14" s="30"/>
      <c r="E14" s="31"/>
      <c r="F14" s="245"/>
      <c r="G14" s="245"/>
      <c r="H14" s="245"/>
      <c r="I14" s="245"/>
      <c r="J14" s="245"/>
      <c r="K14" s="245"/>
      <c r="L14" s="245"/>
      <c r="M14" s="245"/>
      <c r="N14" s="245"/>
      <c r="O14" s="245"/>
      <c r="P14" s="245"/>
      <c r="Q14" s="245"/>
      <c r="R14" s="245"/>
      <c r="S14" s="245"/>
      <c r="T14" s="245"/>
      <c r="U14" s="245"/>
      <c r="V14" s="245"/>
      <c r="W14" s="245"/>
      <c r="X14" s="245"/>
      <c r="Y14" s="245"/>
      <c r="Z14" s="245"/>
    </row>
    <row r="15">
      <c r="A15" s="245"/>
      <c r="B15" s="218"/>
      <c r="C15" s="246"/>
      <c r="D15" s="30"/>
      <c r="E15" s="31"/>
      <c r="F15" s="245"/>
      <c r="G15" s="245"/>
      <c r="H15" s="245"/>
      <c r="I15" s="245"/>
      <c r="J15" s="245"/>
      <c r="K15" s="245"/>
      <c r="L15" s="245"/>
      <c r="M15" s="245"/>
      <c r="N15" s="245"/>
      <c r="O15" s="245"/>
      <c r="P15" s="245"/>
      <c r="Q15" s="245"/>
      <c r="R15" s="245"/>
      <c r="S15" s="245"/>
      <c r="T15" s="245"/>
      <c r="U15" s="245"/>
      <c r="V15" s="245"/>
      <c r="W15" s="245"/>
      <c r="X15" s="245"/>
      <c r="Y15" s="245"/>
      <c r="Z15" s="245"/>
    </row>
    <row r="16">
      <c r="A16" s="245"/>
      <c r="B16" s="218"/>
      <c r="C16" s="246"/>
      <c r="D16" s="30"/>
      <c r="E16" s="31"/>
      <c r="F16" s="245"/>
      <c r="G16" s="245"/>
      <c r="H16" s="245"/>
      <c r="I16" s="245"/>
      <c r="J16" s="245"/>
      <c r="K16" s="245"/>
      <c r="L16" s="245"/>
      <c r="M16" s="245"/>
      <c r="N16" s="245"/>
      <c r="O16" s="245"/>
      <c r="P16" s="245"/>
      <c r="Q16" s="245"/>
      <c r="R16" s="245"/>
      <c r="S16" s="245"/>
      <c r="T16" s="245"/>
      <c r="U16" s="245"/>
      <c r="V16" s="245"/>
      <c r="W16" s="245"/>
      <c r="X16" s="245"/>
      <c r="Y16" s="245"/>
      <c r="Z16" s="245"/>
    </row>
    <row r="17">
      <c r="A17" s="245"/>
      <c r="B17" s="218"/>
      <c r="C17" s="246"/>
      <c r="D17" s="30"/>
      <c r="E17" s="31"/>
      <c r="F17" s="245"/>
      <c r="G17" s="245"/>
      <c r="H17" s="245"/>
      <c r="I17" s="245"/>
      <c r="J17" s="245"/>
      <c r="K17" s="245"/>
      <c r="L17" s="245"/>
      <c r="M17" s="245"/>
      <c r="N17" s="245"/>
      <c r="O17" s="245"/>
      <c r="P17" s="245"/>
      <c r="Q17" s="245"/>
      <c r="R17" s="245"/>
      <c r="S17" s="245"/>
      <c r="T17" s="245"/>
      <c r="U17" s="245"/>
      <c r="V17" s="245"/>
      <c r="W17" s="245"/>
      <c r="X17" s="245"/>
      <c r="Y17" s="245"/>
      <c r="Z17" s="245"/>
    </row>
    <row r="18">
      <c r="A18" s="245"/>
      <c r="B18" s="218"/>
      <c r="C18" s="246"/>
      <c r="D18" s="30"/>
      <c r="E18" s="31"/>
      <c r="F18" s="245"/>
      <c r="G18" s="245"/>
      <c r="H18" s="245"/>
      <c r="I18" s="245"/>
      <c r="J18" s="245"/>
      <c r="K18" s="245"/>
      <c r="L18" s="245"/>
      <c r="M18" s="245"/>
      <c r="N18" s="245"/>
      <c r="O18" s="245"/>
      <c r="P18" s="245"/>
      <c r="Q18" s="245"/>
      <c r="R18" s="245"/>
      <c r="S18" s="245"/>
      <c r="T18" s="245"/>
      <c r="U18" s="245"/>
      <c r="V18" s="245"/>
      <c r="W18" s="245"/>
      <c r="X18" s="245"/>
      <c r="Y18" s="245"/>
      <c r="Z18" s="245"/>
    </row>
    <row r="19">
      <c r="A19" s="245"/>
      <c r="B19" s="218"/>
      <c r="C19" s="246"/>
      <c r="D19" s="30"/>
      <c r="E19" s="31"/>
      <c r="F19" s="245"/>
      <c r="G19" s="245"/>
      <c r="H19" s="245"/>
      <c r="I19" s="245"/>
      <c r="J19" s="245"/>
      <c r="K19" s="245"/>
      <c r="L19" s="245"/>
      <c r="M19" s="245"/>
      <c r="N19" s="245"/>
      <c r="O19" s="245"/>
      <c r="P19" s="245"/>
      <c r="Q19" s="245"/>
      <c r="R19" s="245"/>
      <c r="S19" s="245"/>
      <c r="T19" s="245"/>
      <c r="U19" s="245"/>
      <c r="V19" s="245"/>
      <c r="W19" s="245"/>
      <c r="X19" s="245"/>
      <c r="Y19" s="245"/>
      <c r="Z19" s="245"/>
    </row>
    <row r="20">
      <c r="A20" s="245"/>
      <c r="B20" s="218"/>
      <c r="C20" s="246"/>
      <c r="D20" s="30"/>
      <c r="E20" s="31"/>
      <c r="F20" s="245"/>
      <c r="G20" s="245"/>
      <c r="H20" s="245"/>
      <c r="I20" s="245"/>
      <c r="J20" s="245"/>
      <c r="K20" s="245"/>
      <c r="L20" s="245"/>
      <c r="M20" s="245"/>
      <c r="N20" s="245"/>
      <c r="O20" s="245"/>
      <c r="P20" s="245"/>
      <c r="Q20" s="245"/>
      <c r="R20" s="245"/>
      <c r="S20" s="245"/>
      <c r="T20" s="245"/>
      <c r="U20" s="245"/>
      <c r="V20" s="245"/>
      <c r="W20" s="245"/>
      <c r="X20" s="245"/>
      <c r="Y20" s="245"/>
      <c r="Z20" s="245"/>
    </row>
    <row r="21" ht="15.75" customHeight="1">
      <c r="B21" s="165"/>
      <c r="C21" s="239"/>
    </row>
    <row r="22" ht="15.75" customHeight="1">
      <c r="B22" s="165"/>
      <c r="C22" s="239"/>
    </row>
    <row r="23" ht="15.75" customHeight="1">
      <c r="B23" s="165"/>
      <c r="C23" s="239"/>
    </row>
    <row r="24" ht="15.75" customHeight="1">
      <c r="B24" s="165"/>
      <c r="C24" s="239"/>
    </row>
    <row r="25" ht="15.75" customHeight="1">
      <c r="B25" s="165"/>
      <c r="C25" s="239"/>
    </row>
    <row r="26" ht="15.75" customHeight="1">
      <c r="B26" s="165"/>
      <c r="C26" s="239"/>
    </row>
    <row r="27" ht="15.75" customHeight="1">
      <c r="B27" s="165"/>
      <c r="C27" s="239"/>
    </row>
    <row r="28" ht="15.75" customHeight="1">
      <c r="B28" s="165"/>
      <c r="C28" s="239"/>
    </row>
    <row r="29" ht="15.75" customHeight="1">
      <c r="B29" s="165"/>
      <c r="C29" s="239"/>
    </row>
    <row r="30" ht="15.75" customHeight="1">
      <c r="B30" s="165"/>
      <c r="C30" s="239"/>
    </row>
    <row r="31" ht="15.75" customHeight="1">
      <c r="B31" s="165"/>
      <c r="C31" s="239"/>
    </row>
    <row r="32" ht="15.75" customHeight="1">
      <c r="B32" s="165"/>
      <c r="C32" s="239"/>
    </row>
    <row r="33" ht="15.75" customHeight="1">
      <c r="B33" s="165"/>
      <c r="C33" s="239"/>
    </row>
    <row r="34" ht="15.75" customHeight="1">
      <c r="B34" s="165"/>
      <c r="C34" s="239"/>
    </row>
    <row r="35" ht="15.75" customHeight="1">
      <c r="B35" s="165"/>
      <c r="C35" s="239"/>
    </row>
    <row r="36" ht="15.75" customHeight="1">
      <c r="B36" s="165"/>
      <c r="C36" s="239"/>
    </row>
    <row r="37" ht="15.75" customHeight="1">
      <c r="B37" s="165"/>
      <c r="C37" s="239"/>
    </row>
    <row r="38" ht="15.75" customHeight="1">
      <c r="B38" s="165"/>
      <c r="C38" s="239"/>
    </row>
    <row r="39" ht="15.75" customHeight="1">
      <c r="B39" s="165"/>
      <c r="C39" s="239"/>
    </row>
    <row r="40" ht="15.75" customHeight="1">
      <c r="B40" s="165"/>
      <c r="C40" s="239"/>
    </row>
    <row r="41" ht="15.75" customHeight="1">
      <c r="B41" s="165"/>
      <c r="C41" s="239"/>
    </row>
    <row r="42" ht="15.75" customHeight="1">
      <c r="B42" s="165"/>
      <c r="C42" s="239"/>
    </row>
    <row r="43" ht="15.75" customHeight="1">
      <c r="B43" s="165"/>
      <c r="C43" s="239"/>
    </row>
    <row r="44" ht="15.75" customHeight="1">
      <c r="B44" s="165"/>
      <c r="C44" s="239"/>
    </row>
    <row r="45" ht="15.75" customHeight="1">
      <c r="B45" s="165"/>
      <c r="C45" s="239"/>
    </row>
    <row r="46" ht="15.75" customHeight="1">
      <c r="B46" s="165"/>
      <c r="C46" s="239"/>
    </row>
    <row r="47" ht="15.75" customHeight="1">
      <c r="B47" s="165"/>
      <c r="C47" s="239"/>
    </row>
    <row r="48" ht="15.75" customHeight="1">
      <c r="B48" s="165"/>
      <c r="C48" s="239"/>
    </row>
    <row r="49" ht="15.75" customHeight="1">
      <c r="B49" s="165"/>
      <c r="C49" s="239"/>
    </row>
    <row r="50" ht="15.75" customHeight="1">
      <c r="B50" s="165"/>
      <c r="C50" s="239"/>
    </row>
    <row r="51" ht="15.75" customHeight="1">
      <c r="B51" s="165"/>
      <c r="C51" s="239"/>
    </row>
    <row r="52" ht="15.75" customHeight="1">
      <c r="B52" s="165"/>
      <c r="C52" s="239"/>
    </row>
    <row r="53" ht="15.75" customHeight="1">
      <c r="B53" s="165"/>
      <c r="C53" s="239"/>
    </row>
    <row r="54" ht="15.75" customHeight="1">
      <c r="B54" s="165"/>
      <c r="C54" s="239"/>
    </row>
    <row r="55" ht="15.75" customHeight="1">
      <c r="B55" s="165"/>
      <c r="C55" s="239"/>
    </row>
    <row r="56" ht="15.75" customHeight="1">
      <c r="B56" s="165"/>
      <c r="C56" s="239"/>
    </row>
    <row r="57" ht="15.75" customHeight="1">
      <c r="B57" s="165"/>
      <c r="C57" s="239"/>
    </row>
    <row r="58" ht="15.75" customHeight="1">
      <c r="B58" s="165"/>
      <c r="C58" s="239"/>
    </row>
    <row r="59" ht="15.75" customHeight="1">
      <c r="B59" s="165"/>
      <c r="C59" s="239"/>
    </row>
    <row r="60" ht="15.75" customHeight="1">
      <c r="B60" s="165"/>
      <c r="C60" s="239"/>
    </row>
    <row r="61" ht="15.75" customHeight="1">
      <c r="B61" s="165"/>
      <c r="C61" s="239"/>
    </row>
    <row r="62" ht="15.75" customHeight="1">
      <c r="B62" s="165"/>
      <c r="C62" s="239"/>
    </row>
    <row r="63" ht="15.75" customHeight="1">
      <c r="B63" s="165"/>
      <c r="C63" s="239"/>
    </row>
    <row r="64" ht="15.75" customHeight="1">
      <c r="B64" s="165"/>
      <c r="C64" s="239"/>
    </row>
    <row r="65" ht="15.75" customHeight="1">
      <c r="B65" s="165"/>
      <c r="C65" s="239"/>
    </row>
    <row r="66" ht="15.75" customHeight="1">
      <c r="B66" s="165"/>
      <c r="C66" s="239"/>
    </row>
    <row r="67" ht="15.75" customHeight="1">
      <c r="B67" s="165"/>
      <c r="C67" s="239"/>
    </row>
    <row r="68" ht="15.75" customHeight="1">
      <c r="B68" s="165"/>
      <c r="C68" s="239"/>
    </row>
    <row r="69" ht="15.75" customHeight="1">
      <c r="B69" s="165"/>
      <c r="C69" s="239"/>
    </row>
    <row r="70" ht="15.75" customHeight="1">
      <c r="B70" s="165"/>
      <c r="C70" s="239"/>
    </row>
    <row r="71" ht="15.75" customHeight="1">
      <c r="B71" s="165"/>
      <c r="C71" s="239"/>
    </row>
    <row r="72" ht="15.75" customHeight="1">
      <c r="B72" s="165"/>
      <c r="C72" s="239"/>
    </row>
    <row r="73" ht="15.75" customHeight="1">
      <c r="B73" s="165"/>
      <c r="C73" s="239"/>
    </row>
    <row r="74" ht="15.75" customHeight="1">
      <c r="B74" s="165"/>
      <c r="C74" s="239"/>
    </row>
    <row r="75" ht="15.75" customHeight="1">
      <c r="B75" s="165"/>
      <c r="C75" s="239"/>
    </row>
    <row r="76" ht="15.75" customHeight="1">
      <c r="B76" s="165"/>
      <c r="C76" s="239"/>
    </row>
    <row r="77" ht="15.75" customHeight="1">
      <c r="B77" s="165"/>
      <c r="C77" s="239"/>
    </row>
    <row r="78" ht="15.75" customHeight="1">
      <c r="B78" s="165"/>
      <c r="C78" s="239"/>
    </row>
    <row r="79" ht="15.75" customHeight="1">
      <c r="B79" s="165"/>
      <c r="C79" s="239"/>
    </row>
    <row r="80" ht="15.75" customHeight="1">
      <c r="B80" s="165"/>
      <c r="C80" s="239"/>
    </row>
    <row r="81" ht="15.75" customHeight="1">
      <c r="B81" s="165"/>
      <c r="C81" s="239"/>
    </row>
    <row r="82" ht="15.75" customHeight="1">
      <c r="B82" s="165"/>
      <c r="C82" s="239"/>
    </row>
    <row r="83" ht="15.75" customHeight="1">
      <c r="B83" s="165"/>
      <c r="C83" s="239"/>
    </row>
    <row r="84" ht="15.75" customHeight="1">
      <c r="B84" s="165"/>
      <c r="C84" s="239"/>
    </row>
    <row r="85" ht="15.75" customHeight="1">
      <c r="B85" s="165"/>
      <c r="C85" s="239"/>
    </row>
    <row r="86" ht="15.75" customHeight="1">
      <c r="B86" s="165"/>
      <c r="C86" s="239"/>
    </row>
    <row r="87" ht="15.75" customHeight="1">
      <c r="B87" s="165"/>
      <c r="C87" s="239"/>
    </row>
    <row r="88" ht="15.75" customHeight="1">
      <c r="B88" s="165"/>
      <c r="C88" s="239"/>
    </row>
    <row r="89" ht="15.75" customHeight="1">
      <c r="B89" s="165"/>
      <c r="C89" s="239"/>
    </row>
    <row r="90" ht="15.75" customHeight="1">
      <c r="B90" s="165"/>
      <c r="C90" s="239"/>
    </row>
    <row r="91" ht="15.75" customHeight="1">
      <c r="B91" s="165"/>
      <c r="C91" s="239"/>
    </row>
    <row r="92" ht="15.75" customHeight="1">
      <c r="B92" s="165"/>
      <c r="C92" s="239"/>
    </row>
    <row r="93" ht="15.75" customHeight="1">
      <c r="B93" s="165"/>
      <c r="C93" s="239"/>
    </row>
    <row r="94" ht="15.75" customHeight="1">
      <c r="B94" s="165"/>
      <c r="C94" s="239"/>
    </row>
    <row r="95" ht="15.75" customHeight="1">
      <c r="B95" s="165"/>
      <c r="C95" s="239"/>
    </row>
    <row r="96" ht="15.75" customHeight="1">
      <c r="B96" s="165"/>
      <c r="C96" s="239"/>
    </row>
    <row r="97" ht="15.75" customHeight="1">
      <c r="B97" s="165"/>
      <c r="C97" s="239"/>
    </row>
    <row r="98" ht="15.75" customHeight="1">
      <c r="B98" s="165"/>
      <c r="C98" s="239"/>
    </row>
    <row r="99" ht="15.75" customHeight="1">
      <c r="B99" s="165"/>
      <c r="C99" s="239"/>
    </row>
    <row r="100" ht="15.75" customHeight="1">
      <c r="B100" s="165"/>
      <c r="C100" s="239"/>
    </row>
    <row r="101" ht="15.75" customHeight="1">
      <c r="B101" s="165"/>
      <c r="C101" s="239"/>
    </row>
    <row r="102" ht="15.75" customHeight="1">
      <c r="B102" s="165"/>
      <c r="C102" s="239"/>
    </row>
    <row r="103" ht="15.75" customHeight="1">
      <c r="B103" s="165"/>
      <c r="C103" s="239"/>
    </row>
    <row r="104" ht="15.75" customHeight="1">
      <c r="B104" s="165"/>
      <c r="C104" s="239"/>
    </row>
    <row r="105" ht="15.75" customHeight="1">
      <c r="B105" s="165"/>
      <c r="C105" s="239"/>
    </row>
    <row r="106" ht="15.75" customHeight="1">
      <c r="B106" s="165"/>
      <c r="C106" s="239"/>
    </row>
    <row r="107" ht="15.75" customHeight="1">
      <c r="B107" s="165"/>
      <c r="C107" s="239"/>
    </row>
    <row r="108" ht="15.75" customHeight="1">
      <c r="B108" s="165"/>
      <c r="C108" s="239"/>
    </row>
    <row r="109" ht="15.75" customHeight="1">
      <c r="B109" s="165"/>
      <c r="C109" s="239"/>
    </row>
    <row r="110" ht="15.75" customHeight="1">
      <c r="B110" s="165"/>
      <c r="C110" s="239"/>
    </row>
    <row r="111" ht="15.75" customHeight="1">
      <c r="B111" s="165"/>
      <c r="C111" s="239"/>
    </row>
    <row r="112" ht="15.75" customHeight="1">
      <c r="B112" s="165"/>
      <c r="C112" s="239"/>
    </row>
    <row r="113" ht="15.75" customHeight="1">
      <c r="B113" s="165"/>
      <c r="C113" s="239"/>
    </row>
    <row r="114" ht="15.75" customHeight="1">
      <c r="B114" s="165"/>
      <c r="C114" s="239"/>
    </row>
    <row r="115" ht="15.75" customHeight="1">
      <c r="B115" s="165"/>
      <c r="C115" s="239"/>
    </row>
    <row r="116" ht="15.75" customHeight="1">
      <c r="B116" s="165"/>
      <c r="C116" s="239"/>
    </row>
    <row r="117" ht="15.75" customHeight="1">
      <c r="B117" s="165"/>
      <c r="C117" s="239"/>
    </row>
    <row r="118" ht="15.75" customHeight="1">
      <c r="B118" s="165"/>
      <c r="C118" s="239"/>
    </row>
    <row r="119" ht="15.75" customHeight="1">
      <c r="B119" s="165"/>
      <c r="C119" s="239"/>
    </row>
    <row r="120" ht="15.75" customHeight="1">
      <c r="B120" s="165"/>
      <c r="C120" s="239"/>
    </row>
    <row r="121" ht="15.75" customHeight="1">
      <c r="B121" s="165"/>
      <c r="C121" s="239"/>
    </row>
    <row r="122" ht="15.75" customHeight="1">
      <c r="B122" s="165"/>
      <c r="C122" s="239"/>
    </row>
    <row r="123" ht="15.75" customHeight="1">
      <c r="B123" s="165"/>
      <c r="C123" s="239"/>
    </row>
    <row r="124" ht="15.75" customHeight="1">
      <c r="B124" s="165"/>
      <c r="C124" s="239"/>
    </row>
    <row r="125" ht="15.75" customHeight="1">
      <c r="B125" s="165"/>
      <c r="C125" s="239"/>
    </row>
    <row r="126" ht="15.75" customHeight="1">
      <c r="B126" s="165"/>
      <c r="C126" s="239"/>
    </row>
    <row r="127" ht="15.75" customHeight="1">
      <c r="B127" s="165"/>
      <c r="C127" s="239"/>
    </row>
    <row r="128" ht="15.75" customHeight="1">
      <c r="B128" s="165"/>
      <c r="C128" s="239"/>
    </row>
    <row r="129" ht="15.75" customHeight="1">
      <c r="B129" s="165"/>
      <c r="C129" s="239"/>
    </row>
    <row r="130" ht="15.75" customHeight="1">
      <c r="B130" s="165"/>
      <c r="C130" s="239"/>
    </row>
    <row r="131" ht="15.75" customHeight="1">
      <c r="B131" s="165"/>
      <c r="C131" s="239"/>
    </row>
    <row r="132" ht="15.75" customHeight="1">
      <c r="B132" s="165"/>
      <c r="C132" s="239"/>
    </row>
    <row r="133" ht="15.75" customHeight="1">
      <c r="B133" s="165"/>
      <c r="C133" s="239"/>
    </row>
    <row r="134" ht="15.75" customHeight="1">
      <c r="B134" s="165"/>
      <c r="C134" s="239"/>
    </row>
    <row r="135" ht="15.75" customHeight="1">
      <c r="B135" s="165"/>
      <c r="C135" s="239"/>
    </row>
    <row r="136" ht="15.75" customHeight="1">
      <c r="B136" s="165"/>
      <c r="C136" s="239"/>
    </row>
    <row r="137" ht="15.75" customHeight="1">
      <c r="B137" s="165"/>
      <c r="C137" s="239"/>
    </row>
    <row r="138" ht="15.75" customHeight="1">
      <c r="B138" s="165"/>
      <c r="C138" s="239"/>
    </row>
    <row r="139" ht="15.75" customHeight="1">
      <c r="B139" s="165"/>
      <c r="C139" s="239"/>
    </row>
    <row r="140" ht="15.75" customHeight="1">
      <c r="B140" s="165"/>
      <c r="C140" s="239"/>
    </row>
    <row r="141" ht="15.75" customHeight="1">
      <c r="B141" s="165"/>
      <c r="C141" s="239"/>
    </row>
    <row r="142" ht="15.75" customHeight="1">
      <c r="B142" s="165"/>
      <c r="C142" s="239"/>
    </row>
    <row r="143" ht="15.75" customHeight="1">
      <c r="B143" s="165"/>
      <c r="C143" s="239"/>
    </row>
    <row r="144" ht="15.75" customHeight="1">
      <c r="B144" s="165"/>
      <c r="C144" s="239"/>
    </row>
    <row r="145" ht="15.75" customHeight="1">
      <c r="B145" s="165"/>
      <c r="C145" s="239"/>
    </row>
    <row r="146" ht="15.75" customHeight="1">
      <c r="B146" s="165"/>
      <c r="C146" s="239"/>
    </row>
    <row r="147" ht="15.75" customHeight="1">
      <c r="B147" s="165"/>
      <c r="C147" s="239"/>
    </row>
    <row r="148" ht="15.75" customHeight="1">
      <c r="B148" s="165"/>
      <c r="C148" s="239"/>
    </row>
    <row r="149" ht="15.75" customHeight="1">
      <c r="B149" s="165"/>
      <c r="C149" s="239"/>
    </row>
    <row r="150" ht="15.75" customHeight="1">
      <c r="B150" s="165"/>
      <c r="C150" s="239"/>
    </row>
    <row r="151" ht="15.75" customHeight="1">
      <c r="B151" s="165"/>
      <c r="C151" s="239"/>
    </row>
    <row r="152" ht="15.75" customHeight="1">
      <c r="B152" s="165"/>
      <c r="C152" s="239"/>
    </row>
    <row r="153" ht="15.75" customHeight="1">
      <c r="B153" s="165"/>
      <c r="C153" s="239"/>
    </row>
    <row r="154" ht="15.75" customHeight="1">
      <c r="B154" s="165"/>
      <c r="C154" s="239"/>
    </row>
    <row r="155" ht="15.75" customHeight="1">
      <c r="B155" s="165"/>
      <c r="C155" s="239"/>
    </row>
    <row r="156" ht="15.75" customHeight="1">
      <c r="B156" s="165"/>
      <c r="C156" s="239"/>
    </row>
    <row r="157" ht="15.75" customHeight="1">
      <c r="B157" s="165"/>
      <c r="C157" s="239"/>
    </row>
    <row r="158" ht="15.75" customHeight="1">
      <c r="B158" s="165"/>
      <c r="C158" s="239"/>
    </row>
    <row r="159" ht="15.75" customHeight="1">
      <c r="B159" s="165"/>
      <c r="C159" s="239"/>
    </row>
    <row r="160" ht="15.75" customHeight="1">
      <c r="B160" s="165"/>
      <c r="C160" s="239"/>
    </row>
    <row r="161" ht="15.75" customHeight="1">
      <c r="B161" s="165"/>
      <c r="C161" s="239"/>
    </row>
    <row r="162" ht="15.75" customHeight="1">
      <c r="B162" s="165"/>
      <c r="C162" s="239"/>
    </row>
    <row r="163" ht="15.75" customHeight="1">
      <c r="B163" s="165"/>
      <c r="C163" s="239"/>
    </row>
    <row r="164" ht="15.75" customHeight="1">
      <c r="B164" s="165"/>
      <c r="C164" s="239"/>
    </row>
    <row r="165" ht="15.75" customHeight="1">
      <c r="B165" s="165"/>
      <c r="C165" s="239"/>
    </row>
    <row r="166" ht="15.75" customHeight="1">
      <c r="B166" s="165"/>
      <c r="C166" s="239"/>
    </row>
    <row r="167" ht="15.75" customHeight="1">
      <c r="B167" s="165"/>
      <c r="C167" s="239"/>
    </row>
    <row r="168" ht="15.75" customHeight="1">
      <c r="B168" s="165"/>
      <c r="C168" s="239"/>
    </row>
    <row r="169" ht="15.75" customHeight="1">
      <c r="B169" s="165"/>
      <c r="C169" s="239"/>
    </row>
    <row r="170" ht="15.75" customHeight="1">
      <c r="B170" s="165"/>
      <c r="C170" s="239"/>
    </row>
    <row r="171" ht="15.75" customHeight="1">
      <c r="B171" s="165"/>
      <c r="C171" s="239"/>
    </row>
    <row r="172" ht="15.75" customHeight="1">
      <c r="B172" s="165"/>
      <c r="C172" s="239"/>
    </row>
    <row r="173" ht="15.75" customHeight="1">
      <c r="B173" s="165"/>
      <c r="C173" s="239"/>
    </row>
    <row r="174" ht="15.75" customHeight="1">
      <c r="B174" s="165"/>
      <c r="C174" s="239"/>
    </row>
    <row r="175" ht="15.75" customHeight="1">
      <c r="B175" s="165"/>
      <c r="C175" s="239"/>
    </row>
    <row r="176" ht="15.75" customHeight="1">
      <c r="B176" s="165"/>
      <c r="C176" s="239"/>
    </row>
    <row r="177" ht="15.75" customHeight="1">
      <c r="B177" s="165"/>
      <c r="C177" s="239"/>
    </row>
    <row r="178" ht="15.75" customHeight="1">
      <c r="B178" s="165"/>
      <c r="C178" s="239"/>
    </row>
    <row r="179" ht="15.75" customHeight="1">
      <c r="B179" s="165"/>
      <c r="C179" s="239"/>
    </row>
    <row r="180" ht="15.75" customHeight="1">
      <c r="B180" s="165"/>
      <c r="C180" s="239"/>
    </row>
    <row r="181" ht="15.75" customHeight="1">
      <c r="B181" s="165"/>
      <c r="C181" s="239"/>
    </row>
    <row r="182" ht="15.75" customHeight="1">
      <c r="B182" s="165"/>
      <c r="C182" s="239"/>
    </row>
    <row r="183" ht="15.75" customHeight="1">
      <c r="B183" s="165"/>
      <c r="C183" s="239"/>
    </row>
    <row r="184" ht="15.75" customHeight="1">
      <c r="B184" s="165"/>
      <c r="C184" s="239"/>
    </row>
    <row r="185" ht="15.75" customHeight="1">
      <c r="B185" s="165"/>
      <c r="C185" s="239"/>
    </row>
    <row r="186" ht="15.75" customHeight="1">
      <c r="B186" s="165"/>
      <c r="C186" s="239"/>
    </row>
    <row r="187" ht="15.75" customHeight="1">
      <c r="B187" s="165"/>
      <c r="C187" s="239"/>
    </row>
    <row r="188" ht="15.75" customHeight="1">
      <c r="B188" s="165"/>
      <c r="C188" s="239"/>
    </row>
    <row r="189" ht="15.75" customHeight="1">
      <c r="B189" s="165"/>
      <c r="C189" s="239"/>
    </row>
    <row r="190" ht="15.75" customHeight="1">
      <c r="B190" s="165"/>
      <c r="C190" s="239"/>
    </row>
    <row r="191" ht="15.75" customHeight="1">
      <c r="B191" s="165"/>
      <c r="C191" s="239"/>
    </row>
    <row r="192" ht="15.75" customHeight="1">
      <c r="B192" s="165"/>
      <c r="C192" s="239"/>
    </row>
    <row r="193" ht="15.75" customHeight="1">
      <c r="B193" s="165"/>
      <c r="C193" s="239"/>
    </row>
    <row r="194" ht="15.75" customHeight="1">
      <c r="B194" s="165"/>
      <c r="C194" s="239"/>
    </row>
    <row r="195" ht="15.75" customHeight="1">
      <c r="B195" s="165"/>
      <c r="C195" s="239"/>
    </row>
    <row r="196" ht="15.75" customHeight="1">
      <c r="B196" s="165"/>
      <c r="C196" s="239"/>
    </row>
    <row r="197" ht="15.75" customHeight="1">
      <c r="B197" s="165"/>
      <c r="C197" s="239"/>
    </row>
    <row r="198" ht="15.75" customHeight="1">
      <c r="B198" s="165"/>
      <c r="C198" s="239"/>
    </row>
    <row r="199" ht="15.75" customHeight="1">
      <c r="B199" s="165"/>
      <c r="C199" s="239"/>
    </row>
    <row r="200" ht="15.75" customHeight="1">
      <c r="B200" s="165"/>
      <c r="C200" s="239"/>
    </row>
    <row r="201" ht="15.75" customHeight="1">
      <c r="B201" s="165"/>
      <c r="C201" s="239"/>
    </row>
    <row r="202" ht="15.75" customHeight="1">
      <c r="B202" s="165"/>
      <c r="C202" s="239"/>
    </row>
    <row r="203" ht="15.75" customHeight="1">
      <c r="B203" s="165"/>
      <c r="C203" s="239"/>
    </row>
    <row r="204" ht="15.75" customHeight="1">
      <c r="B204" s="165"/>
      <c r="C204" s="239"/>
    </row>
    <row r="205" ht="15.75" customHeight="1">
      <c r="B205" s="165"/>
      <c r="C205" s="239"/>
    </row>
    <row r="206" ht="15.75" customHeight="1">
      <c r="B206" s="165"/>
      <c r="C206" s="239"/>
    </row>
    <row r="207" ht="15.75" customHeight="1">
      <c r="B207" s="165"/>
      <c r="C207" s="239"/>
    </row>
    <row r="208" ht="15.75" customHeight="1">
      <c r="B208" s="165"/>
      <c r="C208" s="239"/>
    </row>
    <row r="209" ht="15.75" customHeight="1">
      <c r="B209" s="165"/>
      <c r="C209" s="239"/>
    </row>
    <row r="210" ht="15.75" customHeight="1">
      <c r="B210" s="165"/>
      <c r="C210" s="239"/>
    </row>
    <row r="211" ht="15.75" customHeight="1">
      <c r="B211" s="165"/>
      <c r="C211" s="239"/>
    </row>
    <row r="212" ht="15.75" customHeight="1">
      <c r="B212" s="165"/>
      <c r="C212" s="239"/>
    </row>
    <row r="213" ht="15.75" customHeight="1">
      <c r="B213" s="165"/>
      <c r="C213" s="239"/>
    </row>
    <row r="214" ht="15.75" customHeight="1">
      <c r="B214" s="165"/>
      <c r="C214" s="239"/>
    </row>
    <row r="215" ht="15.75" customHeight="1">
      <c r="B215" s="165"/>
      <c r="C215" s="239"/>
    </row>
    <row r="216" ht="15.75" customHeight="1">
      <c r="B216" s="165"/>
      <c r="C216" s="239"/>
    </row>
    <row r="217" ht="15.75" customHeight="1">
      <c r="B217" s="165"/>
      <c r="C217" s="239"/>
    </row>
    <row r="218" ht="15.75" customHeight="1">
      <c r="B218" s="165"/>
      <c r="C218" s="239"/>
    </row>
    <row r="219" ht="15.75" customHeight="1">
      <c r="B219" s="165"/>
      <c r="C219" s="239"/>
    </row>
    <row r="220" ht="15.75" customHeight="1">
      <c r="B220" s="165"/>
      <c r="C220" s="2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2"/>
    <mergeCell ref="C3:E3"/>
    <mergeCell ref="C4:E4"/>
    <mergeCell ref="C5:E5"/>
    <mergeCell ref="C6:E6"/>
    <mergeCell ref="C7:E7"/>
    <mergeCell ref="C8:E8"/>
    <mergeCell ref="C16:E16"/>
    <mergeCell ref="C17:E17"/>
    <mergeCell ref="C18:E18"/>
    <mergeCell ref="C19:E19"/>
    <mergeCell ref="C20:E20"/>
    <mergeCell ref="C9:E9"/>
    <mergeCell ref="C10:E10"/>
    <mergeCell ref="C11:E11"/>
    <mergeCell ref="C12:E12"/>
    <mergeCell ref="C13:E13"/>
    <mergeCell ref="C14:E14"/>
    <mergeCell ref="C15:E15"/>
  </mergeCells>
  <conditionalFormatting sqref="B4:B20">
    <cfRule type="notContainsBlanks" dxfId="4" priority="1">
      <formula>LEN(TRIM(B4))&gt;0</formula>
    </cfRule>
  </conditionalFormatting>
  <dataValidations>
    <dataValidation type="list" allowBlank="1" showErrorMessage="1" sqref="C13">
      <formula1>'FILTRE SABERS'!$L:$L</formula1>
    </dataValidation>
    <dataValidation type="list" allowBlank="1" showErrorMessage="1" sqref="C20">
      <formula1>'FILTRE SABERS'!$S:$S</formula1>
    </dataValidation>
    <dataValidation type="list" allowBlank="1" showErrorMessage="1" sqref="C7">
      <formula1>'FILTRE SABERS'!$F:$F</formula1>
    </dataValidation>
    <dataValidation type="list" allowBlank="1" showErrorMessage="1" sqref="C9">
      <formula1>'FILTRE SABERS'!$H:$H</formula1>
    </dataValidation>
    <dataValidation type="list" allowBlank="1" showErrorMessage="1" sqref="C16">
      <formula1>'FILTRE SABERS'!$O:$O</formula1>
    </dataValidation>
    <dataValidation type="list" allowBlank="1" showErrorMessage="1" sqref="C4">
      <formula1>'FILTRE SABERS'!$C$3:$C$48</formula1>
    </dataValidation>
    <dataValidation type="list" allowBlank="1" showErrorMessage="1" sqref="C5">
      <formula1>'FILTRE SABERS'!$D:$D</formula1>
    </dataValidation>
    <dataValidation type="list" allowBlank="1" showErrorMessage="1" sqref="C18">
      <formula1>'FILTRE SABERS'!$Q:$Q</formula1>
    </dataValidation>
    <dataValidation type="list" allowBlank="1" showErrorMessage="1" sqref="C11">
      <formula1>'FILTRE SABERS'!$J:$J</formula1>
    </dataValidation>
    <dataValidation type="list" allowBlank="1" showErrorMessage="1" sqref="C8">
      <formula1>'FILTRE SABERS'!$G:$G</formula1>
    </dataValidation>
    <dataValidation type="list" allowBlank="1" showErrorMessage="1" sqref="C10">
      <formula1>'FILTRE SABERS'!$I:$I</formula1>
    </dataValidation>
    <dataValidation type="list" allowBlank="1" showErrorMessage="1" sqref="C15">
      <formula1>'FILTRE SABERS'!$N:$N</formula1>
    </dataValidation>
    <dataValidation type="list" allowBlank="1" showErrorMessage="1" sqref="C12">
      <formula1>'FILTRE SABERS'!$K:$K</formula1>
    </dataValidation>
    <dataValidation type="list" allowBlank="1" showErrorMessage="1" sqref="B4:B20">
      <formula1>INICI!$C$6:$H$7</formula1>
    </dataValidation>
    <dataValidation type="list" allowBlank="1" showErrorMessage="1" sqref="C19">
      <formula1>'FILTRE SABERS'!$R:$R</formula1>
    </dataValidation>
    <dataValidation type="list" allowBlank="1" showErrorMessage="1" sqref="C6">
      <formula1>'FILTRE SABERS'!$E:$E</formula1>
    </dataValidation>
    <dataValidation type="list" allowBlank="1" showErrorMessage="1" sqref="C14">
      <formula1>'FILTRE SABERS'!$M:$M</formula1>
    </dataValidation>
    <dataValidation type="list" allowBlank="1" showErrorMessage="1" sqref="C17">
      <formula1>'FILTRE SABERS'!$P:$P</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47"/>
      <c r="B1" s="247"/>
      <c r="C1" s="247"/>
      <c r="D1" s="248"/>
      <c r="E1" s="248"/>
      <c r="F1" s="248"/>
      <c r="G1" s="248"/>
      <c r="H1" s="248"/>
      <c r="I1" s="248"/>
      <c r="J1" s="248"/>
      <c r="K1" s="248"/>
      <c r="L1" s="248"/>
      <c r="M1" s="248"/>
      <c r="N1" s="248"/>
      <c r="O1" s="248"/>
      <c r="P1" s="248"/>
      <c r="Q1" s="248"/>
      <c r="R1" s="248"/>
      <c r="S1" s="248"/>
      <c r="T1" s="248"/>
      <c r="U1" s="248"/>
      <c r="V1" s="248"/>
      <c r="W1" s="248"/>
      <c r="X1" s="248"/>
      <c r="Y1" s="248"/>
      <c r="Z1" s="248"/>
    </row>
    <row r="2" ht="89.25" customHeight="1">
      <c r="A2" s="247"/>
      <c r="B2" s="249" t="s">
        <v>2178</v>
      </c>
      <c r="C2" s="31"/>
      <c r="D2" s="43"/>
      <c r="E2" s="43"/>
      <c r="F2" s="43"/>
      <c r="G2" s="43"/>
      <c r="H2" s="43"/>
      <c r="I2" s="43"/>
      <c r="J2" s="43"/>
      <c r="K2" s="43"/>
      <c r="L2" s="43"/>
      <c r="M2" s="43"/>
      <c r="N2" s="43"/>
      <c r="O2" s="43"/>
      <c r="P2" s="43"/>
      <c r="Q2" s="43"/>
      <c r="R2" s="43"/>
      <c r="S2" s="43"/>
      <c r="T2" s="43"/>
      <c r="U2" s="43"/>
      <c r="V2" s="43"/>
      <c r="W2" s="43"/>
      <c r="X2" s="43"/>
      <c r="Y2" s="43"/>
      <c r="Z2" s="43"/>
    </row>
    <row r="3">
      <c r="A3" s="250"/>
      <c r="B3" s="251" t="s">
        <v>2179</v>
      </c>
      <c r="C3" s="218" t="s">
        <v>2180</v>
      </c>
    </row>
    <row r="4" ht="15.75" customHeight="1">
      <c r="A4" s="186"/>
    </row>
    <row r="5" ht="15.75" customHeight="1">
      <c r="A5" s="186"/>
    </row>
    <row r="6" ht="15.75" customHeight="1">
      <c r="A6" s="186"/>
    </row>
    <row r="7" ht="15.75" customHeight="1">
      <c r="A7" s="186"/>
    </row>
    <row r="8" ht="15.75" customHeight="1">
      <c r="A8" s="186"/>
    </row>
    <row r="9" ht="15.75" customHeight="1">
      <c r="A9" s="186"/>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14.88"/>
    <col customWidth="1" min="5" max="5" width="42.38"/>
    <col customWidth="1" min="6" max="8" width="10.13"/>
    <col customWidth="1" min="9" max="9" width="7.63"/>
  </cols>
  <sheetData>
    <row r="1" ht="5.25" customHeight="1">
      <c r="A1" s="252"/>
      <c r="B1" s="252"/>
      <c r="C1" s="252"/>
      <c r="D1" s="252"/>
      <c r="E1" s="252"/>
      <c r="F1" s="252"/>
      <c r="G1" s="252"/>
      <c r="H1" s="252"/>
      <c r="I1" s="252"/>
      <c r="J1" s="253"/>
      <c r="K1" s="253"/>
      <c r="L1" s="253"/>
      <c r="M1" s="253"/>
      <c r="N1" s="253"/>
      <c r="O1" s="253"/>
      <c r="P1" s="253"/>
      <c r="Q1" s="253"/>
      <c r="R1" s="253"/>
      <c r="S1" s="253"/>
      <c r="T1" s="253"/>
      <c r="U1" s="253"/>
      <c r="V1" s="253"/>
      <c r="W1" s="253"/>
      <c r="X1" s="253"/>
      <c r="Y1" s="253"/>
      <c r="Z1" s="253"/>
      <c r="AA1" s="253"/>
      <c r="AB1" s="253"/>
    </row>
    <row r="2" ht="52.5" customHeight="1">
      <c r="A2" s="254"/>
      <c r="B2" s="255" t="s">
        <v>2181</v>
      </c>
      <c r="C2" s="30"/>
      <c r="D2" s="30"/>
      <c r="E2" s="30"/>
      <c r="F2" s="30"/>
      <c r="G2" s="30"/>
      <c r="H2" s="30"/>
      <c r="I2" s="31"/>
      <c r="J2" s="256"/>
      <c r="K2" s="256"/>
      <c r="L2" s="256"/>
      <c r="M2" s="256"/>
      <c r="N2" s="256"/>
      <c r="O2" s="256"/>
      <c r="P2" s="256"/>
      <c r="Q2" s="256"/>
      <c r="R2" s="256"/>
      <c r="S2" s="256"/>
      <c r="T2" s="256"/>
      <c r="U2" s="256"/>
      <c r="V2" s="256"/>
      <c r="W2" s="256"/>
      <c r="X2" s="256"/>
      <c r="Y2" s="256"/>
      <c r="Z2" s="256"/>
      <c r="AA2" s="256"/>
      <c r="AB2" s="256"/>
    </row>
    <row r="3" ht="38.25" customHeight="1">
      <c r="A3" s="254"/>
      <c r="B3" s="257" t="s">
        <v>2182</v>
      </c>
      <c r="C3" s="31"/>
      <c r="D3" s="258" t="s">
        <v>2183</v>
      </c>
      <c r="E3" s="259"/>
      <c r="F3" s="259"/>
      <c r="G3" s="259" t="s">
        <v>2184</v>
      </c>
      <c r="H3" s="259" t="s">
        <v>2185</v>
      </c>
      <c r="I3" s="260" t="s">
        <v>2186</v>
      </c>
      <c r="J3" s="256"/>
      <c r="K3" s="256"/>
      <c r="L3" s="256"/>
      <c r="M3" s="256"/>
      <c r="N3" s="256"/>
      <c r="O3" s="256"/>
      <c r="P3" s="256"/>
      <c r="Q3" s="256"/>
      <c r="R3" s="256"/>
      <c r="S3" s="256"/>
      <c r="T3" s="256"/>
      <c r="U3" s="256"/>
      <c r="V3" s="256"/>
      <c r="W3" s="256"/>
      <c r="X3" s="256"/>
      <c r="Y3" s="256"/>
      <c r="Z3" s="256"/>
      <c r="AA3" s="256"/>
      <c r="AB3" s="256"/>
    </row>
    <row r="4">
      <c r="A4" s="254"/>
      <c r="B4" s="261" t="s">
        <v>2187</v>
      </c>
      <c r="C4" s="9"/>
      <c r="D4" s="262" t="s">
        <v>2188</v>
      </c>
      <c r="E4" s="262" t="s">
        <v>2189</v>
      </c>
      <c r="F4" s="263" t="s">
        <v>2190</v>
      </c>
      <c r="G4" s="264">
        <v>45708.0</v>
      </c>
      <c r="H4" s="264">
        <v>45722.0</v>
      </c>
      <c r="I4" s="201">
        <v>3.0</v>
      </c>
      <c r="J4" s="256"/>
      <c r="K4" s="256"/>
      <c r="L4" s="256"/>
      <c r="M4" s="256"/>
      <c r="N4" s="256"/>
      <c r="O4" s="256"/>
      <c r="P4" s="256"/>
      <c r="Q4" s="256"/>
      <c r="R4" s="256"/>
      <c r="S4" s="256"/>
      <c r="T4" s="256"/>
      <c r="U4" s="256"/>
      <c r="V4" s="256"/>
      <c r="W4" s="256"/>
      <c r="X4" s="256"/>
      <c r="Y4" s="256"/>
      <c r="Z4" s="256"/>
      <c r="AA4" s="256"/>
      <c r="AB4" s="256"/>
    </row>
    <row r="5">
      <c r="A5" s="254"/>
      <c r="B5" s="265"/>
      <c r="C5" s="266"/>
      <c r="D5" s="262" t="s">
        <v>2191</v>
      </c>
      <c r="E5" s="262" t="s">
        <v>2192</v>
      </c>
      <c r="F5" s="267"/>
      <c r="G5" s="268"/>
      <c r="H5" s="268"/>
      <c r="I5" s="201"/>
      <c r="J5" s="256"/>
      <c r="K5" s="256"/>
      <c r="L5" s="256"/>
      <c r="M5" s="256"/>
      <c r="N5" s="256"/>
      <c r="O5" s="256"/>
      <c r="P5" s="256"/>
      <c r="Q5" s="256"/>
      <c r="R5" s="256"/>
      <c r="S5" s="256"/>
      <c r="T5" s="256"/>
      <c r="U5" s="256"/>
      <c r="V5" s="256"/>
      <c r="W5" s="256"/>
      <c r="X5" s="256"/>
      <c r="Y5" s="256"/>
      <c r="Z5" s="256"/>
      <c r="AA5" s="256"/>
      <c r="AB5" s="256"/>
    </row>
    <row r="6">
      <c r="A6" s="254"/>
      <c r="B6" s="10"/>
      <c r="C6" s="12"/>
      <c r="D6" s="262" t="s">
        <v>2193</v>
      </c>
      <c r="E6" s="262" t="s">
        <v>2194</v>
      </c>
      <c r="F6" s="267"/>
      <c r="G6" s="268"/>
      <c r="H6" s="268"/>
      <c r="I6" s="201"/>
      <c r="J6" s="256"/>
      <c r="K6" s="256"/>
      <c r="L6" s="256"/>
      <c r="M6" s="256"/>
      <c r="N6" s="256"/>
      <c r="O6" s="256"/>
      <c r="P6" s="256"/>
      <c r="Q6" s="256"/>
      <c r="R6" s="256"/>
      <c r="S6" s="256"/>
      <c r="T6" s="256"/>
      <c r="U6" s="256"/>
      <c r="V6" s="256"/>
      <c r="W6" s="256"/>
      <c r="X6" s="256"/>
      <c r="Y6" s="256"/>
      <c r="Z6" s="256"/>
      <c r="AA6" s="256"/>
      <c r="AB6" s="256"/>
    </row>
    <row r="7">
      <c r="A7" s="254"/>
      <c r="B7" s="269" t="s">
        <v>2195</v>
      </c>
      <c r="C7" s="9"/>
      <c r="D7" s="262" t="s">
        <v>2196</v>
      </c>
      <c r="E7" s="262" t="s">
        <v>2197</v>
      </c>
      <c r="F7" s="263" t="s">
        <v>2198</v>
      </c>
      <c r="G7" s="268"/>
      <c r="H7" s="268"/>
      <c r="I7" s="201">
        <v>4.0</v>
      </c>
      <c r="J7" s="256"/>
      <c r="K7" s="256"/>
      <c r="L7" s="256"/>
      <c r="M7" s="256"/>
      <c r="N7" s="256"/>
      <c r="O7" s="256"/>
      <c r="P7" s="256"/>
      <c r="Q7" s="256"/>
      <c r="R7" s="256"/>
      <c r="S7" s="256"/>
      <c r="T7" s="256"/>
      <c r="U7" s="256"/>
      <c r="V7" s="256"/>
      <c r="W7" s="256"/>
      <c r="X7" s="256"/>
      <c r="Y7" s="256"/>
      <c r="Z7" s="256"/>
      <c r="AA7" s="256"/>
      <c r="AB7" s="256"/>
    </row>
    <row r="8">
      <c r="A8" s="254"/>
      <c r="B8" s="265"/>
      <c r="C8" s="266"/>
      <c r="D8" s="262" t="s">
        <v>2199</v>
      </c>
      <c r="E8" s="262" t="s">
        <v>2200</v>
      </c>
      <c r="F8" s="267"/>
      <c r="G8" s="264" t="s">
        <v>2201</v>
      </c>
      <c r="H8" s="264">
        <v>45736.0</v>
      </c>
      <c r="I8" s="201"/>
      <c r="J8" s="256"/>
      <c r="K8" s="256"/>
      <c r="L8" s="256"/>
      <c r="M8" s="256"/>
      <c r="N8" s="256"/>
      <c r="O8" s="256"/>
      <c r="P8" s="256"/>
      <c r="Q8" s="256"/>
      <c r="R8" s="256"/>
      <c r="S8" s="256"/>
      <c r="T8" s="256"/>
      <c r="U8" s="256"/>
      <c r="V8" s="256"/>
      <c r="W8" s="256"/>
      <c r="X8" s="256"/>
      <c r="Y8" s="256"/>
      <c r="Z8" s="256"/>
      <c r="AA8" s="256"/>
      <c r="AB8" s="256"/>
    </row>
    <row r="9">
      <c r="A9" s="254"/>
      <c r="B9" s="265"/>
      <c r="C9" s="266"/>
      <c r="D9" s="262" t="s">
        <v>2202</v>
      </c>
      <c r="E9" s="262" t="s">
        <v>2203</v>
      </c>
      <c r="F9" s="270"/>
      <c r="G9" s="268"/>
      <c r="H9" s="268"/>
      <c r="I9" s="201"/>
      <c r="J9" s="256"/>
      <c r="K9" s="256"/>
      <c r="L9" s="256"/>
      <c r="M9" s="256"/>
      <c r="N9" s="256"/>
      <c r="O9" s="256"/>
      <c r="P9" s="256"/>
      <c r="Q9" s="256"/>
      <c r="R9" s="256"/>
      <c r="S9" s="256"/>
      <c r="T9" s="256"/>
      <c r="U9" s="256"/>
      <c r="V9" s="256"/>
      <c r="W9" s="256"/>
      <c r="X9" s="256"/>
      <c r="Y9" s="256"/>
      <c r="Z9" s="256"/>
      <c r="AA9" s="256"/>
      <c r="AB9" s="256"/>
    </row>
    <row r="10">
      <c r="A10" s="254"/>
      <c r="B10" s="265"/>
      <c r="C10" s="266"/>
      <c r="D10" s="262" t="s">
        <v>2204</v>
      </c>
      <c r="E10" s="262" t="s">
        <v>2205</v>
      </c>
      <c r="F10" s="267"/>
      <c r="G10" s="268"/>
      <c r="H10" s="268"/>
      <c r="I10" s="201"/>
      <c r="J10" s="256"/>
      <c r="K10" s="256"/>
      <c r="L10" s="256"/>
      <c r="M10" s="256"/>
      <c r="N10" s="256"/>
      <c r="O10" s="256"/>
      <c r="P10" s="256"/>
      <c r="Q10" s="256"/>
      <c r="R10" s="256"/>
      <c r="S10" s="256"/>
      <c r="T10" s="256"/>
      <c r="U10" s="256"/>
      <c r="V10" s="256"/>
      <c r="W10" s="256"/>
      <c r="X10" s="256"/>
      <c r="Y10" s="256"/>
      <c r="Z10" s="256"/>
      <c r="AA10" s="256"/>
      <c r="AB10" s="256"/>
    </row>
    <row r="11">
      <c r="A11" s="254"/>
      <c r="B11" s="10"/>
      <c r="C11" s="12"/>
      <c r="D11" s="271"/>
      <c r="E11" s="272"/>
      <c r="F11" s="272"/>
      <c r="G11" s="268"/>
      <c r="H11" s="268"/>
      <c r="I11" s="201"/>
      <c r="J11" s="256"/>
      <c r="K11" s="256"/>
      <c r="L11" s="256"/>
      <c r="M11" s="256"/>
      <c r="N11" s="256"/>
      <c r="O11" s="256"/>
      <c r="P11" s="256"/>
      <c r="Q11" s="256"/>
      <c r="R11" s="256"/>
      <c r="S11" s="256"/>
      <c r="T11" s="256"/>
      <c r="U11" s="256"/>
      <c r="V11" s="256"/>
      <c r="W11" s="256"/>
      <c r="X11" s="256"/>
      <c r="Y11" s="256"/>
      <c r="Z11" s="256"/>
      <c r="AA11" s="256"/>
      <c r="AB11" s="256"/>
    </row>
    <row r="12">
      <c r="A12" s="254"/>
      <c r="B12" s="273" t="s">
        <v>2206</v>
      </c>
      <c r="C12" s="9"/>
      <c r="D12" s="262" t="s">
        <v>2207</v>
      </c>
      <c r="E12" s="262" t="s">
        <v>2208</v>
      </c>
      <c r="F12" s="267"/>
      <c r="G12" s="264">
        <v>45737.0</v>
      </c>
      <c r="H12" s="264">
        <v>45743.0</v>
      </c>
      <c r="I12" s="201">
        <v>3.0</v>
      </c>
      <c r="J12" s="256"/>
      <c r="K12" s="256"/>
      <c r="L12" s="256"/>
      <c r="M12" s="256"/>
      <c r="N12" s="256"/>
      <c r="O12" s="256"/>
      <c r="P12" s="256"/>
      <c r="Q12" s="256"/>
      <c r="R12" s="256"/>
      <c r="S12" s="256"/>
      <c r="T12" s="256"/>
      <c r="U12" s="256"/>
      <c r="V12" s="256"/>
      <c r="W12" s="256"/>
      <c r="X12" s="256"/>
      <c r="Y12" s="256"/>
      <c r="Z12" s="256"/>
      <c r="AA12" s="256"/>
      <c r="AB12" s="256"/>
    </row>
    <row r="13">
      <c r="A13" s="254"/>
      <c r="B13" s="265"/>
      <c r="C13" s="266"/>
      <c r="D13" s="262" t="s">
        <v>2209</v>
      </c>
      <c r="E13" s="262" t="s">
        <v>2210</v>
      </c>
      <c r="F13" s="267"/>
      <c r="G13" s="268"/>
      <c r="H13" s="268"/>
      <c r="I13" s="201"/>
      <c r="J13" s="256"/>
      <c r="K13" s="256"/>
      <c r="L13" s="256"/>
      <c r="M13" s="256"/>
      <c r="N13" s="256"/>
      <c r="O13" s="256"/>
      <c r="P13" s="256"/>
      <c r="Q13" s="256"/>
      <c r="R13" s="256"/>
      <c r="S13" s="256"/>
      <c r="T13" s="256"/>
      <c r="U13" s="256"/>
      <c r="V13" s="256"/>
      <c r="W13" s="256"/>
      <c r="X13" s="256"/>
      <c r="Y13" s="256"/>
      <c r="Z13" s="256"/>
      <c r="AA13" s="256"/>
      <c r="AB13" s="256"/>
    </row>
    <row r="14">
      <c r="A14" s="254"/>
      <c r="B14" s="10"/>
      <c r="C14" s="12"/>
      <c r="D14" s="262" t="s">
        <v>2211</v>
      </c>
      <c r="E14" s="262" t="s">
        <v>2212</v>
      </c>
      <c r="F14" s="267"/>
      <c r="G14" s="268"/>
      <c r="H14" s="268"/>
      <c r="I14" s="201"/>
      <c r="J14" s="256"/>
      <c r="K14" s="256"/>
      <c r="L14" s="256"/>
      <c r="M14" s="256"/>
      <c r="N14" s="256"/>
      <c r="O14" s="256"/>
      <c r="P14" s="256"/>
      <c r="Q14" s="256"/>
      <c r="R14" s="256"/>
      <c r="S14" s="256"/>
      <c r="T14" s="256"/>
      <c r="U14" s="256"/>
      <c r="V14" s="256"/>
      <c r="W14" s="256"/>
      <c r="X14" s="256"/>
      <c r="Y14" s="256"/>
      <c r="Z14" s="256"/>
      <c r="AA14" s="256"/>
      <c r="AB14" s="256"/>
    </row>
    <row r="15">
      <c r="A15" s="254"/>
      <c r="B15" s="274" t="s">
        <v>2213</v>
      </c>
      <c r="C15" s="9"/>
      <c r="D15" s="262" t="s">
        <v>2214</v>
      </c>
      <c r="E15" s="262" t="s">
        <v>2215</v>
      </c>
      <c r="F15" s="267"/>
      <c r="G15" s="268"/>
      <c r="H15" s="268"/>
      <c r="I15" s="201">
        <v>4.0</v>
      </c>
      <c r="J15" s="256"/>
      <c r="K15" s="256"/>
      <c r="L15" s="256"/>
      <c r="M15" s="256"/>
      <c r="N15" s="256"/>
      <c r="O15" s="256"/>
      <c r="P15" s="256"/>
      <c r="Q15" s="256"/>
      <c r="R15" s="256"/>
      <c r="S15" s="256"/>
      <c r="T15" s="256"/>
      <c r="U15" s="256"/>
      <c r="V15" s="256"/>
      <c r="W15" s="256"/>
      <c r="X15" s="256"/>
      <c r="Y15" s="256"/>
      <c r="Z15" s="256"/>
      <c r="AA15" s="256"/>
      <c r="AB15" s="256"/>
    </row>
    <row r="16">
      <c r="A16" s="254"/>
      <c r="B16" s="265"/>
      <c r="C16" s="266"/>
      <c r="D16" s="262" t="s">
        <v>2216</v>
      </c>
      <c r="E16" s="262" t="s">
        <v>2217</v>
      </c>
      <c r="F16" s="267"/>
      <c r="G16" s="264"/>
      <c r="H16" s="264"/>
      <c r="I16" s="201"/>
      <c r="J16" s="256"/>
      <c r="K16" s="256"/>
      <c r="L16" s="256"/>
      <c r="M16" s="256"/>
      <c r="N16" s="256"/>
      <c r="O16" s="256"/>
      <c r="P16" s="256"/>
      <c r="Q16" s="256"/>
      <c r="R16" s="256"/>
      <c r="S16" s="256"/>
      <c r="T16" s="256"/>
      <c r="U16" s="256"/>
      <c r="V16" s="256"/>
      <c r="W16" s="256"/>
      <c r="X16" s="256"/>
      <c r="Y16" s="256"/>
      <c r="Z16" s="256"/>
      <c r="AA16" s="256"/>
      <c r="AB16" s="256"/>
    </row>
    <row r="17">
      <c r="A17" s="254"/>
      <c r="B17" s="265"/>
      <c r="C17" s="266"/>
      <c r="D17" s="262" t="s">
        <v>2218</v>
      </c>
      <c r="E17" s="262" t="s">
        <v>2219</v>
      </c>
      <c r="F17" s="267"/>
      <c r="G17" s="264">
        <v>45744.0</v>
      </c>
      <c r="H17" s="264">
        <v>45744.0</v>
      </c>
      <c r="I17" s="201"/>
      <c r="J17" s="256"/>
      <c r="K17" s="256"/>
      <c r="L17" s="256"/>
      <c r="M17" s="256"/>
      <c r="N17" s="256"/>
      <c r="O17" s="256"/>
      <c r="P17" s="256"/>
      <c r="Q17" s="256"/>
      <c r="R17" s="256"/>
      <c r="S17" s="256"/>
      <c r="T17" s="256"/>
      <c r="U17" s="256"/>
      <c r="V17" s="256"/>
      <c r="W17" s="256"/>
      <c r="X17" s="256"/>
      <c r="Y17" s="256"/>
      <c r="Z17" s="256"/>
      <c r="AA17" s="256"/>
      <c r="AB17" s="256"/>
    </row>
    <row r="18">
      <c r="A18" s="254"/>
      <c r="B18" s="10"/>
      <c r="C18" s="12"/>
      <c r="D18" s="262" t="s">
        <v>2220</v>
      </c>
      <c r="E18" s="262" t="s">
        <v>2221</v>
      </c>
      <c r="F18" s="267"/>
      <c r="G18" s="275"/>
      <c r="H18" s="275"/>
      <c r="I18" s="201"/>
      <c r="J18" s="256"/>
      <c r="K18" s="256"/>
      <c r="L18" s="256"/>
      <c r="M18" s="256"/>
      <c r="N18" s="256"/>
      <c r="O18" s="256"/>
      <c r="P18" s="256"/>
      <c r="Q18" s="256"/>
      <c r="R18" s="256"/>
      <c r="S18" s="256"/>
      <c r="T18" s="256"/>
      <c r="U18" s="256"/>
      <c r="V18" s="256"/>
      <c r="W18" s="256"/>
      <c r="X18" s="256"/>
      <c r="Y18" s="256"/>
      <c r="Z18" s="256"/>
      <c r="AA18" s="256"/>
      <c r="AB18" s="256"/>
    </row>
    <row r="19" ht="3.75" customHeight="1">
      <c r="A19" s="254"/>
      <c r="B19" s="276"/>
      <c r="C19" s="276"/>
      <c r="D19" s="277"/>
      <c r="E19" s="278"/>
      <c r="F19" s="278"/>
      <c r="G19" s="278"/>
      <c r="H19" s="278"/>
      <c r="I19" s="254"/>
      <c r="J19" s="256"/>
      <c r="K19" s="256"/>
      <c r="L19" s="256"/>
      <c r="M19" s="256"/>
      <c r="N19" s="256"/>
      <c r="O19" s="256"/>
      <c r="P19" s="256"/>
      <c r="Q19" s="256"/>
      <c r="R19" s="256"/>
      <c r="S19" s="256"/>
      <c r="T19" s="256"/>
      <c r="U19" s="256"/>
      <c r="V19" s="256"/>
      <c r="W19" s="256"/>
      <c r="X19" s="256"/>
      <c r="Y19" s="256"/>
      <c r="Z19" s="256"/>
      <c r="AA19" s="256"/>
      <c r="AB19" s="256"/>
    </row>
    <row r="20" ht="30.0" customHeight="1">
      <c r="A20" s="254"/>
      <c r="B20" s="279" t="s">
        <v>2222</v>
      </c>
      <c r="C20" s="30"/>
      <c r="D20" s="30"/>
      <c r="E20" s="30"/>
      <c r="F20" s="30"/>
      <c r="G20" s="30"/>
      <c r="H20" s="30"/>
      <c r="I20" s="31"/>
      <c r="J20" s="256"/>
      <c r="K20" s="256"/>
      <c r="L20" s="256"/>
      <c r="M20" s="256"/>
      <c r="N20" s="256"/>
      <c r="O20" s="256"/>
      <c r="P20" s="256"/>
      <c r="Q20" s="256"/>
      <c r="R20" s="256"/>
      <c r="S20" s="256"/>
      <c r="T20" s="256"/>
      <c r="U20" s="256"/>
      <c r="V20" s="256"/>
      <c r="W20" s="256"/>
      <c r="X20" s="256"/>
      <c r="Y20" s="256"/>
      <c r="Z20" s="256"/>
      <c r="AA20" s="256"/>
      <c r="AB20" s="256"/>
    </row>
    <row r="21" ht="30.0" customHeight="1">
      <c r="A21" s="254"/>
      <c r="B21" s="280" t="s">
        <v>2223</v>
      </c>
      <c r="C21" s="280" t="b">
        <v>1</v>
      </c>
      <c r="D21" s="281" t="s">
        <v>2224</v>
      </c>
      <c r="E21" s="11"/>
      <c r="F21" s="11"/>
      <c r="G21" s="11"/>
      <c r="H21" s="11"/>
      <c r="I21" s="12"/>
      <c r="J21" s="256"/>
      <c r="K21" s="256"/>
      <c r="L21" s="256"/>
      <c r="M21" s="256"/>
      <c r="N21" s="256"/>
      <c r="O21" s="256"/>
      <c r="P21" s="256"/>
      <c r="Q21" s="256"/>
      <c r="R21" s="256"/>
      <c r="S21" s="256"/>
      <c r="T21" s="256"/>
      <c r="U21" s="256"/>
      <c r="V21" s="256"/>
      <c r="W21" s="256"/>
      <c r="X21" s="256"/>
      <c r="Y21" s="256"/>
      <c r="Z21" s="256"/>
      <c r="AA21" s="256"/>
      <c r="AB21" s="256"/>
    </row>
    <row r="22" ht="30.0" customHeight="1">
      <c r="A22" s="254"/>
      <c r="B22" s="280" t="s">
        <v>2225</v>
      </c>
      <c r="C22" s="259" t="b">
        <v>1</v>
      </c>
      <c r="D22" s="281" t="s">
        <v>2226</v>
      </c>
      <c r="E22" s="11"/>
      <c r="F22" s="11"/>
      <c r="G22" s="11"/>
      <c r="H22" s="11"/>
      <c r="I22" s="12"/>
      <c r="J22" s="256"/>
      <c r="K22" s="256"/>
      <c r="L22" s="256"/>
      <c r="M22" s="256"/>
      <c r="N22" s="256"/>
      <c r="O22" s="256"/>
      <c r="P22" s="256"/>
      <c r="Q22" s="256"/>
      <c r="R22" s="256"/>
      <c r="S22" s="256"/>
      <c r="T22" s="256"/>
      <c r="U22" s="256"/>
      <c r="V22" s="256"/>
      <c r="W22" s="256"/>
      <c r="X22" s="256"/>
      <c r="Y22" s="256"/>
      <c r="Z22" s="256"/>
      <c r="AA22" s="256"/>
      <c r="AB22" s="256"/>
    </row>
    <row r="23" ht="30.0" customHeight="1">
      <c r="A23" s="254"/>
      <c r="B23" s="280" t="s">
        <v>2227</v>
      </c>
      <c r="C23" s="259" t="b">
        <v>1</v>
      </c>
      <c r="D23" s="281" t="s">
        <v>2228</v>
      </c>
      <c r="E23" s="11"/>
      <c r="F23" s="11"/>
      <c r="G23" s="11"/>
      <c r="H23" s="11"/>
      <c r="I23" s="12"/>
      <c r="J23" s="256"/>
      <c r="K23" s="256"/>
      <c r="L23" s="256"/>
      <c r="M23" s="256"/>
      <c r="N23" s="256"/>
      <c r="O23" s="256"/>
      <c r="P23" s="256"/>
      <c r="Q23" s="256"/>
      <c r="R23" s="256"/>
      <c r="S23" s="256"/>
      <c r="T23" s="256"/>
      <c r="U23" s="256"/>
      <c r="V23" s="256"/>
      <c r="W23" s="256"/>
      <c r="X23" s="256"/>
      <c r="Y23" s="256"/>
      <c r="Z23" s="256"/>
      <c r="AA23" s="256"/>
      <c r="AB23" s="256"/>
    </row>
    <row r="24" ht="30.0" customHeight="1">
      <c r="A24" s="254"/>
      <c r="B24" s="280" t="s">
        <v>2229</v>
      </c>
      <c r="C24" s="259" t="b">
        <v>1</v>
      </c>
      <c r="D24" s="281" t="s">
        <v>2230</v>
      </c>
      <c r="E24" s="11"/>
      <c r="F24" s="11"/>
      <c r="G24" s="11"/>
      <c r="H24" s="11"/>
      <c r="I24" s="12"/>
      <c r="J24" s="256"/>
      <c r="K24" s="256"/>
      <c r="L24" s="256"/>
      <c r="M24" s="256"/>
      <c r="N24" s="256"/>
      <c r="O24" s="256"/>
      <c r="P24" s="256"/>
      <c r="Q24" s="256"/>
      <c r="R24" s="256"/>
      <c r="S24" s="256"/>
      <c r="T24" s="256"/>
      <c r="U24" s="256"/>
      <c r="V24" s="256"/>
      <c r="W24" s="256"/>
      <c r="X24" s="256"/>
      <c r="Y24" s="256"/>
      <c r="Z24" s="256"/>
      <c r="AA24" s="256"/>
      <c r="AB24" s="256"/>
    </row>
    <row r="25" ht="30.0" customHeight="1">
      <c r="A25" s="254"/>
      <c r="B25" s="280" t="s">
        <v>2231</v>
      </c>
      <c r="C25" s="259" t="b">
        <v>1</v>
      </c>
      <c r="D25" s="282" t="s">
        <v>2232</v>
      </c>
      <c r="E25" s="30"/>
      <c r="F25" s="30"/>
      <c r="G25" s="30"/>
      <c r="H25" s="30"/>
      <c r="I25" s="31"/>
      <c r="J25" s="256"/>
      <c r="K25" s="256"/>
      <c r="L25" s="256"/>
      <c r="M25" s="256"/>
      <c r="N25" s="256"/>
      <c r="O25" s="256"/>
      <c r="P25" s="256"/>
      <c r="Q25" s="256"/>
      <c r="R25" s="256"/>
      <c r="S25" s="256"/>
      <c r="T25" s="256"/>
      <c r="U25" s="256"/>
      <c r="V25" s="256"/>
      <c r="W25" s="256"/>
      <c r="X25" s="256"/>
      <c r="Y25" s="256"/>
      <c r="Z25" s="256"/>
      <c r="AA25" s="256"/>
      <c r="AB25" s="256"/>
    </row>
    <row r="26" ht="30.0" customHeight="1">
      <c r="A26" s="254"/>
      <c r="B26" s="280" t="s">
        <v>2233</v>
      </c>
      <c r="C26" s="259" t="b">
        <v>1</v>
      </c>
      <c r="D26" s="283" t="s">
        <v>2234</v>
      </c>
      <c r="E26" s="30"/>
      <c r="F26" s="30"/>
      <c r="G26" s="30"/>
      <c r="H26" s="30"/>
      <c r="I26" s="31"/>
      <c r="J26" s="256"/>
      <c r="K26" s="256"/>
      <c r="L26" s="256"/>
      <c r="M26" s="256"/>
      <c r="N26" s="256"/>
      <c r="O26" s="256"/>
      <c r="P26" s="256"/>
      <c r="Q26" s="256"/>
      <c r="R26" s="256"/>
      <c r="S26" s="256"/>
      <c r="T26" s="256"/>
      <c r="U26" s="256"/>
      <c r="V26" s="256"/>
      <c r="W26" s="256"/>
      <c r="X26" s="256"/>
      <c r="Y26" s="256"/>
      <c r="Z26" s="256"/>
      <c r="AA26" s="256"/>
      <c r="AB26" s="256"/>
    </row>
    <row r="27" ht="15.75" customHeight="1">
      <c r="A27" s="253"/>
      <c r="B27" s="253"/>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c r="AB27" s="253"/>
    </row>
    <row r="28" ht="15.75" customHeight="1">
      <c r="A28" s="253"/>
      <c r="B28" s="253"/>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row>
    <row r="29" ht="15.75" customHeight="1">
      <c r="A29" s="253"/>
      <c r="B29" s="253"/>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row>
    <row r="30" ht="15.75" customHeight="1">
      <c r="A30" s="253"/>
      <c r="B30" s="253"/>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row>
    <row r="31" ht="15.75" customHeight="1">
      <c r="A31" s="253"/>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row>
    <row r="32" ht="15.75" customHeight="1">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row>
    <row r="33" ht="15.75" customHeight="1">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row>
    <row r="34" ht="15.75" customHeight="1">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row>
    <row r="35" ht="15.75" customHeight="1">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row>
    <row r="36" ht="15.75" customHeight="1">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row>
    <row r="37" ht="15.75" customHeight="1">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row>
    <row r="38" ht="15.75" customHeight="1">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row>
    <row r="39" ht="15.75" customHeight="1">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row>
    <row r="40" ht="15.75" customHeight="1">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ht="15.75" customHeight="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row>
    <row r="42" ht="15.75" customHeight="1">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row>
    <row r="43" ht="15.75" customHeight="1">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row>
    <row r="44" ht="15.75" customHeight="1">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row>
    <row r="45" ht="15.75" customHeight="1">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row>
    <row r="46" ht="15.75" customHeight="1">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row>
    <row r="47" ht="15.75" customHeight="1">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row>
    <row r="48" ht="15.75" customHeight="1">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row>
    <row r="49" ht="15.75" customHeight="1">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row>
    <row r="50" ht="15.75" customHeight="1">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c r="AA50" s="253"/>
      <c r="AB50" s="253"/>
    </row>
    <row r="51" ht="15.75" customHeight="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c r="AA51" s="253"/>
      <c r="AB51" s="253"/>
    </row>
    <row r="52" ht="15.75" customHeight="1">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row>
    <row r="53" ht="15.75" customHeight="1">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row>
    <row r="54" ht="15.75" customHeight="1">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c r="AA54" s="253"/>
      <c r="AB54" s="253"/>
    </row>
    <row r="55" ht="15.75" customHeight="1">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c r="AA55" s="253"/>
      <c r="AB55" s="253"/>
    </row>
    <row r="56" ht="15.75" customHeight="1">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c r="AA56" s="253"/>
      <c r="AB56" s="253"/>
    </row>
    <row r="57" ht="15.75" customHeight="1">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row>
    <row r="58" ht="15.75" customHeight="1">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c r="AA58" s="253"/>
      <c r="AB58" s="253"/>
    </row>
    <row r="59" ht="15.75" customHeight="1">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c r="AA59" s="253"/>
      <c r="AB59" s="253"/>
    </row>
    <row r="60" ht="15.75" customHeight="1">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c r="AB60" s="253"/>
    </row>
    <row r="61" ht="15.75" customHeight="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c r="AA61" s="253"/>
      <c r="AB61" s="253"/>
    </row>
    <row r="62" ht="15.75" customHeight="1">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row>
    <row r="63" ht="15.75" customHeight="1">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c r="AA63" s="253"/>
      <c r="AB63" s="253"/>
    </row>
    <row r="64" ht="15.75" customHeight="1">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c r="AB64" s="253"/>
    </row>
    <row r="65" ht="15.75" customHeight="1">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c r="AA65" s="253"/>
      <c r="AB65" s="253"/>
    </row>
    <row r="66" ht="15.75" customHeight="1">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c r="AA66" s="253"/>
      <c r="AB66" s="253"/>
    </row>
    <row r="67" ht="15.75" customHeight="1">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c r="AA67" s="253"/>
      <c r="AB67" s="253"/>
    </row>
    <row r="68" ht="15.75" customHeight="1">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c r="AA68" s="253"/>
      <c r="AB68" s="253"/>
    </row>
    <row r="69" ht="15.75" customHeight="1">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c r="AA69" s="253"/>
      <c r="AB69" s="253"/>
    </row>
    <row r="70" ht="15.75" customHeight="1">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c r="AB70" s="253"/>
    </row>
    <row r="71" ht="15.75" customHeight="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c r="AA71" s="253"/>
      <c r="AB71" s="253"/>
    </row>
    <row r="72" ht="15.75" customHeight="1">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c r="AA72" s="253"/>
      <c r="AB72" s="253"/>
    </row>
    <row r="73" ht="15.75" customHeight="1">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c r="AA73" s="253"/>
      <c r="AB73" s="253"/>
    </row>
    <row r="74" ht="15.75" customHeight="1">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c r="AA74" s="253"/>
      <c r="AB74" s="253"/>
    </row>
    <row r="75" ht="15.75" customHeight="1">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c r="AA75" s="253"/>
      <c r="AB75" s="253"/>
    </row>
    <row r="76" ht="15.75" customHeight="1">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c r="AA76" s="253"/>
      <c r="AB76" s="253"/>
    </row>
    <row r="77" ht="15.75" customHeight="1">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c r="AA77" s="253"/>
      <c r="AB77" s="253"/>
    </row>
    <row r="78" ht="15.75" customHeight="1">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c r="AA78" s="253"/>
      <c r="AB78" s="253"/>
    </row>
    <row r="79" ht="15.75" customHeight="1">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c r="AA79" s="253"/>
      <c r="AB79" s="253"/>
    </row>
    <row r="80" ht="15.75" customHeight="1">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row>
    <row r="81" ht="15.75" customHeight="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c r="AA81" s="253"/>
      <c r="AB81" s="253"/>
    </row>
    <row r="82" ht="15.75" customHeight="1">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c r="AA82" s="253"/>
      <c r="AB82" s="253"/>
    </row>
    <row r="83" ht="15.75" customHeight="1">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c r="AA83" s="253"/>
      <c r="AB83" s="253"/>
    </row>
    <row r="84" ht="15.75" customHeight="1">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c r="AA84" s="253"/>
      <c r="AB84" s="253"/>
    </row>
    <row r="85" ht="15.75" customHeight="1">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c r="AA85" s="253"/>
      <c r="AB85" s="253"/>
    </row>
    <row r="86" ht="15.75" customHeight="1">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c r="AA86" s="253"/>
      <c r="AB86" s="253"/>
    </row>
    <row r="87" ht="15.75" customHeight="1">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c r="AA87" s="253"/>
      <c r="AB87" s="253"/>
    </row>
    <row r="88" ht="15.75" customHeight="1">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c r="AA88" s="253"/>
      <c r="AB88" s="253"/>
    </row>
    <row r="89" ht="15.75" customHeight="1">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c r="AA89" s="253"/>
      <c r="AB89" s="253"/>
    </row>
    <row r="90" ht="15.75" customHeight="1">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c r="AA90" s="253"/>
      <c r="AB90" s="253"/>
    </row>
    <row r="91" ht="15.75" customHeight="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c r="AA91" s="253"/>
      <c r="AB91" s="253"/>
    </row>
    <row r="92" ht="15.75" customHeight="1">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c r="AA92" s="253"/>
      <c r="AB92" s="253"/>
    </row>
    <row r="93" ht="15.75" customHeight="1">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c r="AA93" s="253"/>
      <c r="AB93" s="253"/>
    </row>
    <row r="94" ht="15.75" customHeight="1">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c r="AA94" s="253"/>
      <c r="AB94" s="253"/>
    </row>
    <row r="95" ht="15.75" customHeight="1">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c r="AA95" s="253"/>
      <c r="AB95" s="253"/>
    </row>
    <row r="96" ht="15.75" customHeight="1">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row>
    <row r="97" ht="15.75" customHeight="1">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c r="AA97" s="253"/>
      <c r="AB97" s="253"/>
    </row>
    <row r="98" ht="15.75" customHeight="1">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c r="AA98" s="253"/>
      <c r="AB98" s="253"/>
    </row>
    <row r="99" ht="15.75" customHeight="1">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c r="AA99" s="253"/>
      <c r="AB99" s="253"/>
    </row>
    <row r="100" ht="15.75" customHeight="1">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c r="AA100" s="253"/>
      <c r="AB100" s="253"/>
    </row>
    <row r="101" ht="15.75" customHeight="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c r="AA101" s="253"/>
      <c r="AB101" s="253"/>
    </row>
    <row r="102" ht="15.75" customHeight="1">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c r="AA102" s="253"/>
      <c r="AB102" s="253"/>
    </row>
    <row r="103" ht="15.75" customHeight="1">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c r="AA103" s="253"/>
      <c r="AB103" s="253"/>
    </row>
    <row r="104" ht="15.75" customHeight="1">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c r="AA104" s="253"/>
      <c r="AB104" s="253"/>
    </row>
    <row r="105" ht="15.75" customHeight="1">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c r="AA105" s="253"/>
      <c r="AB105" s="253"/>
    </row>
    <row r="106" ht="15.75" customHeight="1">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c r="AA106" s="253"/>
      <c r="AB106" s="253"/>
    </row>
    <row r="107" ht="15.75" customHeight="1">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c r="AA107" s="253"/>
      <c r="AB107" s="253"/>
    </row>
    <row r="108" ht="15.75" customHeight="1">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c r="AA108" s="253"/>
      <c r="AB108" s="253"/>
    </row>
    <row r="109" ht="15.75" customHeight="1">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c r="AA109" s="253"/>
      <c r="AB109" s="253"/>
    </row>
    <row r="110" ht="15.75" customHeight="1">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c r="AA110" s="253"/>
      <c r="AB110" s="253"/>
    </row>
    <row r="111" ht="15.75" customHeight="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c r="AA111" s="253"/>
      <c r="AB111" s="253"/>
    </row>
    <row r="112" ht="15.75" customHeight="1">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c r="AA112" s="253"/>
      <c r="AB112" s="253"/>
    </row>
    <row r="113" ht="15.75" customHeight="1">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c r="AA113" s="253"/>
      <c r="AB113" s="253"/>
    </row>
    <row r="114" ht="15.75" customHeight="1">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c r="AB114" s="253"/>
    </row>
    <row r="115" ht="15.75" customHeight="1">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c r="AA115" s="253"/>
      <c r="AB115" s="253"/>
    </row>
    <row r="116" ht="15.75" customHeight="1">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c r="AA116" s="253"/>
      <c r="AB116" s="253"/>
    </row>
    <row r="117" ht="15.75" customHeight="1">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row>
    <row r="118" ht="15.75" customHeight="1">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c r="AA118" s="253"/>
      <c r="AB118" s="253"/>
    </row>
    <row r="119" ht="15.75" customHeight="1">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c r="AA119" s="253"/>
      <c r="AB119" s="253"/>
    </row>
    <row r="120" ht="15.75" customHeight="1">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c r="AA120" s="253"/>
      <c r="AB120" s="253"/>
    </row>
    <row r="121" ht="15.75" customHeight="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c r="AA121" s="253"/>
      <c r="AB121" s="253"/>
    </row>
    <row r="122" ht="15.75" customHeight="1">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c r="AA122" s="253"/>
      <c r="AB122" s="253"/>
    </row>
    <row r="123" ht="15.75" customHeight="1">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c r="AA123" s="253"/>
      <c r="AB123" s="253"/>
    </row>
    <row r="124" ht="15.75" customHeight="1">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c r="AA124" s="253"/>
      <c r="AB124" s="253"/>
    </row>
    <row r="125" ht="15.75" customHeight="1">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c r="AA125" s="253"/>
      <c r="AB125" s="253"/>
    </row>
    <row r="126" ht="15.75" customHeight="1">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c r="AA126" s="253"/>
      <c r="AB126" s="253"/>
    </row>
    <row r="127" ht="15.75" customHeight="1">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c r="AA127" s="253"/>
      <c r="AB127" s="253"/>
    </row>
    <row r="128" ht="15.75" customHeight="1">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c r="AA128" s="253"/>
      <c r="AB128" s="253"/>
    </row>
    <row r="129" ht="15.75" customHeight="1">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c r="AA129" s="253"/>
      <c r="AB129" s="253"/>
    </row>
    <row r="130" ht="15.75" customHeight="1">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c r="AA130" s="253"/>
      <c r="AB130" s="253"/>
    </row>
    <row r="131" ht="15.75" customHeight="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c r="AA131" s="253"/>
      <c r="AB131" s="253"/>
    </row>
    <row r="132" ht="15.75" customHeight="1">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c r="AA132" s="253"/>
      <c r="AB132" s="253"/>
    </row>
    <row r="133" ht="15.75" customHeight="1">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c r="AA133" s="253"/>
      <c r="AB133" s="253"/>
    </row>
    <row r="134" ht="15.75" customHeight="1">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c r="AA134" s="253"/>
      <c r="AB134" s="253"/>
    </row>
    <row r="135" ht="15.75" customHeight="1">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c r="AA135" s="253"/>
      <c r="AB135" s="253"/>
    </row>
    <row r="136" ht="15.75" customHeight="1">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c r="AB136" s="253"/>
    </row>
    <row r="137" ht="15.75" customHeight="1">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c r="AA137" s="253"/>
      <c r="AB137" s="253"/>
    </row>
    <row r="138" ht="15.75" customHeight="1">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c r="AA138" s="253"/>
      <c r="AB138" s="253"/>
    </row>
    <row r="139" ht="15.75" customHeight="1">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c r="AA139" s="253"/>
      <c r="AB139" s="253"/>
    </row>
    <row r="140" ht="15.75" customHeight="1">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c r="AA140" s="253"/>
      <c r="AB140" s="253"/>
    </row>
    <row r="141" ht="15.75" customHeight="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c r="AA141" s="253"/>
      <c r="AB141" s="253"/>
    </row>
    <row r="142" ht="15.75" customHeight="1">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c r="AA142" s="253"/>
      <c r="AB142" s="253"/>
    </row>
    <row r="143" ht="15.75" customHeight="1">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c r="AA143" s="253"/>
      <c r="AB143" s="253"/>
    </row>
    <row r="144" ht="15.75" customHeight="1">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c r="AA144" s="253"/>
      <c r="AB144" s="253"/>
    </row>
    <row r="145" ht="15.75" customHeight="1">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c r="AA145" s="253"/>
      <c r="AB145" s="253"/>
    </row>
    <row r="146" ht="15.75" customHeight="1">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c r="AA146" s="253"/>
      <c r="AB146" s="253"/>
    </row>
    <row r="147" ht="15.75" customHeight="1">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c r="AA147" s="253"/>
      <c r="AB147" s="253"/>
    </row>
    <row r="148" ht="15.75" customHeight="1">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c r="AA148" s="253"/>
      <c r="AB148" s="253"/>
    </row>
    <row r="149" ht="15.75" customHeight="1">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c r="AA149" s="253"/>
      <c r="AB149" s="253"/>
    </row>
    <row r="150" ht="15.75" customHeight="1">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c r="AA150" s="253"/>
      <c r="AB150" s="253"/>
    </row>
    <row r="151" ht="15.75" customHeight="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c r="AA151" s="253"/>
      <c r="AB151" s="253"/>
    </row>
    <row r="152" ht="15.75" customHeight="1">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c r="AA152" s="253"/>
      <c r="AB152" s="253"/>
    </row>
    <row r="153" ht="15.75" customHeight="1">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c r="AA153" s="253"/>
      <c r="AB153" s="253"/>
    </row>
    <row r="154" ht="15.75" customHeight="1">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c r="AA154" s="253"/>
      <c r="AB154" s="253"/>
    </row>
    <row r="155" ht="15.75" customHeight="1">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c r="AA155" s="253"/>
      <c r="AB155" s="253"/>
    </row>
    <row r="156" ht="15.75" customHeight="1">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c r="AA156" s="253"/>
      <c r="AB156" s="253"/>
    </row>
    <row r="157" ht="15.75" customHeight="1">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c r="AA157" s="253"/>
      <c r="AB157" s="253"/>
    </row>
    <row r="158" ht="15.75" customHeight="1">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c r="AA158" s="253"/>
      <c r="AB158" s="253"/>
    </row>
    <row r="159" ht="15.75" customHeight="1">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c r="AB159" s="253"/>
    </row>
    <row r="160" ht="15.75" customHeight="1">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c r="AA160" s="253"/>
      <c r="AB160" s="253"/>
    </row>
    <row r="161" ht="15.75" customHeight="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c r="AA161" s="253"/>
      <c r="AB161" s="253"/>
    </row>
    <row r="162" ht="15.75" customHeight="1">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c r="AB162" s="253"/>
    </row>
    <row r="163" ht="15.75" customHeight="1">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c r="AB163" s="253"/>
    </row>
    <row r="164" ht="15.75" customHeight="1">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row>
    <row r="165" ht="15.75" customHeight="1">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c r="AA165" s="253"/>
      <c r="AB165" s="253"/>
    </row>
    <row r="166" ht="15.75" customHeight="1">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c r="AB166" s="253"/>
    </row>
    <row r="167" ht="15.75" customHeight="1">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c r="AB167" s="253"/>
    </row>
    <row r="168" ht="15.75" customHeight="1">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c r="AA168" s="253"/>
      <c r="AB168" s="253"/>
    </row>
    <row r="169" ht="15.75" customHeight="1">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c r="AA169" s="253"/>
      <c r="AB169" s="253"/>
    </row>
    <row r="170" ht="15.75" customHeight="1">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c r="AA170" s="253"/>
      <c r="AB170" s="253"/>
    </row>
    <row r="171" ht="15.75" customHeight="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c r="AA171" s="253"/>
      <c r="AB171" s="253"/>
    </row>
    <row r="172" ht="15.75" customHeight="1">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c r="AA172" s="253"/>
      <c r="AB172" s="253"/>
    </row>
    <row r="173" ht="15.75" customHeight="1">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c r="AB173" s="253"/>
    </row>
    <row r="174" ht="15.75" customHeight="1">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c r="AB174" s="253"/>
    </row>
    <row r="175" ht="15.75" customHeight="1">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c r="AB175" s="253"/>
    </row>
    <row r="176" ht="15.75" customHeight="1">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c r="AA176" s="253"/>
      <c r="AB176" s="253"/>
    </row>
    <row r="177" ht="15.75" customHeight="1">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c r="AB177" s="253"/>
    </row>
    <row r="178" ht="15.75" customHeight="1">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c r="AA178" s="253"/>
      <c r="AB178" s="253"/>
    </row>
    <row r="179" ht="15.75" customHeight="1">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c r="AA179" s="253"/>
      <c r="AB179" s="253"/>
    </row>
    <row r="180" ht="15.75" customHeight="1">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c r="AB180" s="253"/>
    </row>
    <row r="181" ht="15.75" customHeight="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c r="AB181" s="253"/>
    </row>
    <row r="182" ht="15.75" customHeight="1">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c r="AA182" s="253"/>
      <c r="AB182" s="253"/>
    </row>
    <row r="183" ht="15.75" customHeight="1">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row>
    <row r="184" ht="15.75" customHeight="1">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c r="AA184" s="253"/>
      <c r="AB184" s="253"/>
    </row>
    <row r="185" ht="15.75" customHeight="1">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c r="AB185" s="253"/>
    </row>
    <row r="186" ht="15.75" customHeight="1">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c r="AA186" s="253"/>
      <c r="AB186" s="253"/>
    </row>
    <row r="187" ht="15.75" customHeight="1">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c r="AA187" s="253"/>
      <c r="AB187" s="253"/>
    </row>
    <row r="188" ht="15.75" customHeight="1">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c r="AA188" s="253"/>
      <c r="AB188" s="253"/>
    </row>
    <row r="189" ht="15.75" customHeight="1">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c r="AB189" s="253"/>
    </row>
    <row r="190" ht="15.75" customHeight="1">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c r="AA190" s="253"/>
      <c r="AB190" s="253"/>
    </row>
    <row r="191" ht="15.75" customHeight="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c r="AA191" s="253"/>
      <c r="AB191" s="253"/>
    </row>
    <row r="192" ht="15.75" customHeight="1">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c r="AA192" s="253"/>
      <c r="AB192" s="253"/>
    </row>
    <row r="193" ht="15.75" customHeight="1">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c r="AA193" s="253"/>
      <c r="AB193" s="253"/>
    </row>
    <row r="194" ht="15.75" customHeight="1">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c r="AA194" s="253"/>
      <c r="AB194" s="253"/>
    </row>
    <row r="195" ht="15.75" customHeight="1">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c r="AA195" s="253"/>
      <c r="AB195" s="253"/>
    </row>
    <row r="196" ht="15.75" customHeight="1">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row>
    <row r="197" ht="15.75" customHeight="1">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row>
    <row r="198" ht="15.75" customHeight="1">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row>
    <row r="199" ht="15.75" customHeight="1">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row>
    <row r="200" ht="15.75" customHeight="1">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row>
    <row r="201" ht="15.75" customHeight="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row>
    <row r="202" ht="15.75" customHeight="1">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row>
    <row r="203" ht="15.75" customHeight="1">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row>
    <row r="204" ht="15.75" customHeight="1">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row>
    <row r="205" ht="15.75" customHeight="1">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row>
    <row r="206" ht="15.75" customHeight="1">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row>
    <row r="207" ht="15.75" customHeight="1">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row>
    <row r="208" ht="15.75" customHeight="1">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row>
    <row r="209" ht="15.75" customHeight="1">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row>
    <row r="210" ht="15.75" customHeight="1">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row>
    <row r="211" ht="15.75" customHeight="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row>
    <row r="212" ht="15.75" customHeight="1">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row>
    <row r="213" ht="15.75" customHeight="1">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row>
    <row r="214" ht="15.75" customHeight="1">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row>
    <row r="215" ht="15.75" customHeight="1">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row>
    <row r="216" ht="15.75" customHeight="1">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row>
    <row r="217" ht="15.75" customHeight="1">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row>
    <row r="218" ht="15.75" customHeight="1">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row>
    <row r="219" ht="15.75" customHeight="1">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row>
    <row r="220" ht="15.75" customHeight="1">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row>
    <row r="221" ht="15.75" customHeight="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row>
    <row r="222" ht="15.75" customHeight="1">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row>
    <row r="223" ht="15.75" customHeight="1">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row>
    <row r="224" ht="15.75" customHeight="1">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row>
    <row r="225" ht="15.75" customHeight="1">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row>
    <row r="226" ht="15.75" customHeight="1">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row>
    <row r="227" ht="15.75" customHeight="1">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row>
    <row r="228" ht="15.75" customHeight="1">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row>
    <row r="229" ht="15.75" customHeight="1">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row>
    <row r="230" ht="15.75" customHeight="1">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row>
    <row r="231" ht="15.75" customHeight="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row>
    <row r="232" ht="15.75" customHeight="1">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row>
    <row r="233" ht="15.75" customHeight="1">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row>
    <row r="234" ht="15.75" customHeight="1">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row>
    <row r="235" ht="15.75" customHeight="1">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row>
    <row r="236" ht="15.75" customHeight="1">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row>
    <row r="237" ht="15.75" customHeight="1">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row>
    <row r="238" ht="15.75" customHeight="1">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row>
    <row r="239" ht="15.75" customHeight="1">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row>
    <row r="240" ht="15.75" customHeight="1">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row>
    <row r="241" ht="15.75" customHeight="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row>
    <row r="242" ht="15.75" customHeight="1">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row>
    <row r="243" ht="15.75" customHeight="1">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row>
    <row r="244" ht="15.75" customHeight="1">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row>
    <row r="245" ht="15.75" customHeight="1">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row>
    <row r="246" ht="15.75" customHeight="1">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row>
    <row r="247" ht="15.75" customHeight="1">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row>
    <row r="248" ht="15.75" customHeight="1">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row>
    <row r="249" ht="15.75" customHeight="1">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row>
    <row r="250" ht="15.75" customHeight="1">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row>
    <row r="251" ht="15.75" customHeight="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row>
    <row r="252" ht="15.75" customHeight="1">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row>
    <row r="253" ht="15.75" customHeight="1">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row>
    <row r="254" ht="15.75" customHeight="1">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row>
    <row r="255" ht="15.75" customHeight="1">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row>
    <row r="256" ht="15.75" customHeight="1">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row>
    <row r="257" ht="15.75" customHeight="1">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row>
    <row r="258" ht="15.75" customHeight="1">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row>
    <row r="259" ht="15.75" customHeight="1">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row>
    <row r="260" ht="15.75" customHeight="1">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row>
    <row r="261" ht="15.75" customHeight="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row>
    <row r="262" ht="15.75" customHeight="1">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row>
    <row r="263" ht="15.75" customHeight="1">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row>
    <row r="264" ht="15.75" customHeight="1">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row>
    <row r="265" ht="15.75" customHeight="1">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row>
    <row r="266" ht="15.75" customHeight="1">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row>
    <row r="267" ht="15.75" customHeight="1">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row>
    <row r="268" ht="15.75" customHeight="1">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row>
    <row r="269" ht="15.75" customHeight="1">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row>
    <row r="270" ht="15.75" customHeight="1">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row>
    <row r="271" ht="15.75" customHeight="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row>
    <row r="272" ht="15.75" customHeight="1">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row>
    <row r="273" ht="15.75" customHeight="1">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row>
    <row r="274" ht="15.75" customHeight="1">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row>
    <row r="275" ht="15.75" customHeight="1">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row>
    <row r="276" ht="15.75" customHeight="1">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row>
    <row r="277" ht="15.75" customHeight="1">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row>
    <row r="278" ht="15.75" customHeight="1">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row>
    <row r="279" ht="15.75" customHeight="1">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row>
    <row r="280" ht="15.75" customHeight="1">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row>
    <row r="281" ht="15.75" customHeight="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row>
    <row r="282" ht="15.75" customHeight="1">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row>
    <row r="283" ht="15.75" customHeight="1">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row>
    <row r="284" ht="15.75" customHeight="1">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row>
    <row r="285" ht="15.75" customHeight="1">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row>
    <row r="286" ht="15.75" customHeight="1">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row>
    <row r="287" ht="15.75" customHeight="1">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row>
    <row r="288" ht="15.75" customHeight="1">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row>
    <row r="289" ht="15.75" customHeight="1">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row>
    <row r="290" ht="15.75" customHeight="1">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row>
    <row r="291" ht="15.75" customHeight="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row>
    <row r="292" ht="15.75" customHeight="1">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row>
    <row r="293" ht="15.75" customHeight="1">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row>
    <row r="294" ht="15.75" customHeight="1">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row>
    <row r="295" ht="15.75" customHeight="1">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row>
    <row r="296" ht="15.75" customHeight="1">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c r="AA296" s="253"/>
      <c r="AB296" s="253"/>
    </row>
    <row r="297" ht="15.75" customHeight="1">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c r="AA297" s="253"/>
      <c r="AB297" s="253"/>
    </row>
    <row r="298" ht="15.75" customHeight="1">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c r="AA298" s="253"/>
      <c r="AB298" s="253"/>
    </row>
    <row r="299" ht="15.75" customHeight="1">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c r="AA299" s="253"/>
      <c r="AB299" s="253"/>
    </row>
    <row r="300" ht="15.75" customHeight="1">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c r="AA300" s="253"/>
      <c r="AB300" s="253"/>
    </row>
    <row r="301" ht="15.75" customHeight="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c r="AA301" s="253"/>
      <c r="AB301" s="253"/>
    </row>
    <row r="302" ht="15.75" customHeight="1">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c r="AA302" s="253"/>
      <c r="AB302" s="253"/>
    </row>
    <row r="303" ht="15.75" customHeight="1">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c r="AA303" s="253"/>
      <c r="AB303" s="253"/>
    </row>
    <row r="304" ht="15.75" customHeight="1">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c r="AA304" s="253"/>
      <c r="AB304" s="253"/>
    </row>
    <row r="305" ht="15.75" customHeight="1">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c r="AA305" s="253"/>
      <c r="AB305" s="253"/>
    </row>
    <row r="306" ht="15.75" customHeight="1">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c r="AA306" s="253"/>
      <c r="AB306" s="253"/>
    </row>
    <row r="307" ht="15.75" customHeight="1">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c r="AA307" s="253"/>
      <c r="AB307" s="253"/>
    </row>
    <row r="308" ht="15.75" customHeight="1">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c r="AA308" s="253"/>
      <c r="AB308" s="253"/>
    </row>
    <row r="309" ht="15.75" customHeight="1">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c r="AA309" s="253"/>
      <c r="AB309" s="253"/>
    </row>
    <row r="310" ht="15.75" customHeight="1">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c r="AA310" s="253"/>
      <c r="AB310" s="253"/>
    </row>
    <row r="311" ht="15.75" customHeight="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c r="AA311" s="253"/>
      <c r="AB311" s="253"/>
    </row>
    <row r="312" ht="15.75" customHeight="1">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c r="AA312" s="253"/>
      <c r="AB312" s="253"/>
    </row>
    <row r="313" ht="15.75" customHeight="1">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c r="AA313" s="253"/>
      <c r="AB313" s="253"/>
    </row>
    <row r="314" ht="15.75" customHeight="1">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c r="AA314" s="253"/>
      <c r="AB314" s="253"/>
    </row>
    <row r="315" ht="15.75" customHeight="1">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c r="AA315" s="253"/>
      <c r="AB315" s="253"/>
    </row>
    <row r="316" ht="15.75" customHeight="1">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c r="AA316" s="253"/>
      <c r="AB316" s="253"/>
    </row>
    <row r="317" ht="15.75" customHeight="1">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c r="AA317" s="253"/>
      <c r="AB317" s="253"/>
    </row>
    <row r="318" ht="15.75" customHeight="1">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c r="AA318" s="253"/>
      <c r="AB318" s="253"/>
    </row>
    <row r="319" ht="15.75" customHeight="1">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c r="AA319" s="253"/>
      <c r="AB319" s="253"/>
    </row>
    <row r="320" ht="15.75" customHeight="1">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c r="AA320" s="253"/>
      <c r="AB320" s="253"/>
    </row>
    <row r="321" ht="15.75" customHeight="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c r="AA321" s="253"/>
      <c r="AB321" s="253"/>
    </row>
    <row r="322" ht="15.75" customHeight="1">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c r="AA322" s="253"/>
      <c r="AB322" s="253"/>
    </row>
    <row r="323" ht="15.75" customHeight="1">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c r="AA323" s="253"/>
      <c r="AB323" s="253"/>
    </row>
    <row r="324" ht="15.75" customHeight="1">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c r="AA324" s="253"/>
      <c r="AB324" s="253"/>
    </row>
    <row r="325" ht="15.75" customHeight="1">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c r="AA325" s="253"/>
      <c r="AB325" s="253"/>
    </row>
    <row r="326" ht="15.75" customHeight="1">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c r="AA326" s="253"/>
      <c r="AB326" s="253"/>
    </row>
    <row r="327" ht="15.75" customHeight="1">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c r="AA327" s="253"/>
      <c r="AB327" s="253"/>
    </row>
    <row r="328" ht="15.75" customHeight="1">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c r="AA328" s="253"/>
      <c r="AB328" s="253"/>
    </row>
    <row r="329" ht="15.75" customHeight="1">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c r="AA329" s="253"/>
      <c r="AB329" s="253"/>
    </row>
    <row r="330" ht="15.75" customHeight="1">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c r="AA330" s="253"/>
      <c r="AB330" s="253"/>
    </row>
    <row r="331" ht="15.75" customHeight="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c r="AA331" s="253"/>
      <c r="AB331" s="253"/>
    </row>
    <row r="332" ht="15.75" customHeight="1">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c r="AB332" s="253"/>
    </row>
    <row r="333" ht="15.75" customHeight="1">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c r="AB333" s="253"/>
    </row>
    <row r="334" ht="15.75" customHeight="1">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c r="AA334" s="253"/>
      <c r="AB334" s="253"/>
    </row>
    <row r="335" ht="15.75" customHeight="1">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c r="AB335" s="253"/>
    </row>
    <row r="336" ht="15.75" customHeight="1">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c r="AA336" s="253"/>
      <c r="AB336" s="253"/>
    </row>
    <row r="337" ht="15.75" customHeight="1">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c r="AA337" s="253"/>
      <c r="AB337" s="253"/>
    </row>
    <row r="338" ht="15.75" customHeight="1">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c r="AA338" s="253"/>
      <c r="AB338" s="253"/>
    </row>
    <row r="339" ht="15.75" customHeight="1">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row>
    <row r="340" ht="15.75" customHeight="1">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c r="AA340" s="253"/>
      <c r="AB340" s="253"/>
    </row>
    <row r="341" ht="15.75" customHeight="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c r="AA341" s="253"/>
      <c r="AB341" s="253"/>
    </row>
    <row r="342" ht="15.75" customHeight="1">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c r="AA342" s="253"/>
      <c r="AB342" s="253"/>
    </row>
    <row r="343" ht="15.75" customHeight="1">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c r="AA343" s="253"/>
      <c r="AB343" s="253"/>
    </row>
    <row r="344" ht="15.75" customHeight="1">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c r="AA344" s="253"/>
      <c r="AB344" s="253"/>
    </row>
    <row r="345" ht="15.75" customHeight="1">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c r="AA345" s="253"/>
      <c r="AB345" s="253"/>
    </row>
    <row r="346" ht="15.75" customHeight="1">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c r="AA346" s="253"/>
      <c r="AB346" s="253"/>
    </row>
    <row r="347" ht="15.75" customHeight="1">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c r="AA347" s="253"/>
      <c r="AB347" s="253"/>
    </row>
    <row r="348" ht="15.75" customHeight="1">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c r="AA348" s="253"/>
      <c r="AB348" s="253"/>
    </row>
    <row r="349" ht="15.75" customHeight="1">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c r="AA349" s="253"/>
      <c r="AB349" s="253"/>
    </row>
    <row r="350" ht="15.75" customHeight="1">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c r="AA350" s="253"/>
      <c r="AB350" s="253"/>
    </row>
    <row r="351" ht="15.75" customHeight="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c r="AA351" s="253"/>
      <c r="AB351" s="253"/>
    </row>
    <row r="352" ht="15.75" customHeight="1">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c r="AA352" s="253"/>
      <c r="AB352" s="253"/>
    </row>
    <row r="353" ht="15.75" customHeight="1">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c r="AA353" s="253"/>
      <c r="AB353" s="253"/>
    </row>
    <row r="354" ht="15.75" customHeight="1">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c r="AA354" s="253"/>
      <c r="AB354" s="253"/>
    </row>
    <row r="355" ht="15.75" customHeight="1">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c r="AA355" s="253"/>
      <c r="AB355" s="253"/>
    </row>
    <row r="356" ht="15.75" customHeight="1">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c r="AA356" s="253"/>
      <c r="AB356" s="253"/>
    </row>
    <row r="357" ht="15.75" customHeight="1">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c r="AA357" s="253"/>
      <c r="AB357" s="253"/>
    </row>
    <row r="358" ht="15.75" customHeight="1">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c r="AA358" s="253"/>
      <c r="AB358" s="253"/>
    </row>
    <row r="359" ht="15.75" customHeight="1">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c r="AA359" s="253"/>
      <c r="AB359" s="253"/>
    </row>
    <row r="360" ht="15.75" customHeight="1">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c r="AA360" s="253"/>
      <c r="AB360" s="253"/>
    </row>
    <row r="361" ht="15.75" customHeight="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c r="AA361" s="253"/>
      <c r="AB361" s="253"/>
    </row>
    <row r="362" ht="15.75" customHeight="1">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c r="AA362" s="253"/>
      <c r="AB362" s="253"/>
    </row>
    <row r="363" ht="15.75" customHeight="1">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c r="AA363" s="253"/>
      <c r="AB363" s="253"/>
    </row>
    <row r="364" ht="15.75" customHeight="1">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c r="AA364" s="253"/>
      <c r="AB364" s="253"/>
    </row>
    <row r="365" ht="15.75" customHeight="1">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c r="AA365" s="253"/>
      <c r="AB365" s="253"/>
    </row>
    <row r="366" ht="15.75" customHeight="1">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c r="AA366" s="253"/>
      <c r="AB366" s="253"/>
    </row>
    <row r="367" ht="15.75" customHeight="1">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c r="AA367" s="253"/>
      <c r="AB367" s="253"/>
    </row>
    <row r="368" ht="15.75" customHeight="1">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c r="AA368" s="253"/>
      <c r="AB368" s="253"/>
    </row>
    <row r="369" ht="15.75" customHeight="1">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c r="AA369" s="253"/>
      <c r="AB369" s="253"/>
    </row>
    <row r="370" ht="15.75" customHeight="1">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c r="AA370" s="253"/>
      <c r="AB370" s="253"/>
    </row>
    <row r="371" ht="15.75" customHeight="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c r="AA371" s="253"/>
      <c r="AB371" s="253"/>
    </row>
    <row r="372" ht="15.75" customHeight="1">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c r="AA372" s="253"/>
      <c r="AB372" s="253"/>
    </row>
    <row r="373" ht="15.75" customHeight="1">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c r="AA373" s="253"/>
      <c r="AB373" s="253"/>
    </row>
    <row r="374" ht="15.75" customHeight="1">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c r="AA374" s="253"/>
      <c r="AB374" s="253"/>
    </row>
    <row r="375" ht="15.75" customHeight="1">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c r="AA375" s="253"/>
      <c r="AB375" s="253"/>
    </row>
    <row r="376" ht="15.75" customHeight="1">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c r="AA376" s="253"/>
      <c r="AB376" s="253"/>
    </row>
    <row r="377" ht="15.75" customHeight="1">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c r="AA377" s="253"/>
      <c r="AB377" s="253"/>
    </row>
    <row r="378" ht="15.75" customHeight="1">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c r="AA378" s="253"/>
      <c r="AB378" s="253"/>
    </row>
    <row r="379" ht="15.75" customHeight="1">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c r="AA379" s="253"/>
      <c r="AB379" s="253"/>
    </row>
    <row r="380" ht="15.75" customHeight="1">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c r="AA380" s="253"/>
      <c r="AB380" s="253"/>
    </row>
    <row r="381" ht="15.75" customHeight="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c r="AA381" s="253"/>
      <c r="AB381" s="253"/>
    </row>
    <row r="382" ht="15.75" customHeight="1">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c r="AA382" s="253"/>
      <c r="AB382" s="253"/>
    </row>
    <row r="383" ht="15.75" customHeight="1">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c r="AA383" s="253"/>
      <c r="AB383" s="253"/>
    </row>
    <row r="384" ht="15.75" customHeight="1">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c r="AA384" s="253"/>
      <c r="AB384" s="253"/>
    </row>
    <row r="385" ht="15.75" customHeight="1">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c r="AA385" s="253"/>
      <c r="AB385" s="253"/>
    </row>
    <row r="386" ht="15.75" customHeight="1">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c r="AA386" s="253"/>
      <c r="AB386" s="253"/>
    </row>
    <row r="387" ht="15.75" customHeight="1">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c r="AA387" s="253"/>
      <c r="AB387" s="253"/>
    </row>
    <row r="388" ht="15.75" customHeight="1">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row>
    <row r="389" ht="15.75" customHeight="1">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c r="AA389" s="253"/>
      <c r="AB389" s="253"/>
    </row>
    <row r="390" ht="15.75" customHeight="1">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c r="AA390" s="253"/>
      <c r="AB390" s="253"/>
    </row>
    <row r="391" ht="15.75" customHeight="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c r="AA391" s="253"/>
      <c r="AB391" s="253"/>
    </row>
    <row r="392" ht="15.75" customHeight="1">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c r="AA392" s="253"/>
      <c r="AB392" s="253"/>
    </row>
    <row r="393" ht="15.75" customHeight="1">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c r="AA393" s="253"/>
      <c r="AB393" s="253"/>
    </row>
    <row r="394" ht="15.75" customHeight="1">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c r="AA394" s="253"/>
      <c r="AB394" s="253"/>
    </row>
    <row r="395" ht="15.75" customHeight="1">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c r="AA395" s="253"/>
      <c r="AB395" s="253"/>
    </row>
    <row r="396" ht="15.75" customHeight="1">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c r="AA396" s="253"/>
      <c r="AB396" s="253"/>
    </row>
    <row r="397" ht="15.75" customHeight="1">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c r="AA397" s="253"/>
      <c r="AB397" s="253"/>
    </row>
    <row r="398" ht="15.75" customHeight="1">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c r="AA398" s="253"/>
      <c r="AB398" s="253"/>
    </row>
    <row r="399" ht="15.75" customHeight="1">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c r="AA399" s="253"/>
      <c r="AB399" s="253"/>
    </row>
    <row r="400" ht="15.75" customHeight="1">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c r="AA400" s="253"/>
      <c r="AB400" s="253"/>
    </row>
    <row r="401" ht="15.75" customHeight="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c r="AA401" s="253"/>
      <c r="AB401" s="253"/>
    </row>
    <row r="402" ht="15.75" customHeight="1">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c r="AA402" s="253"/>
      <c r="AB402" s="253"/>
    </row>
    <row r="403" ht="15.75" customHeight="1">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c r="AA403" s="253"/>
      <c r="AB403" s="253"/>
    </row>
    <row r="404" ht="15.75" customHeight="1">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c r="AA404" s="253"/>
      <c r="AB404" s="253"/>
    </row>
    <row r="405" ht="15.75" customHeight="1">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c r="AA405" s="253"/>
      <c r="AB405" s="253"/>
    </row>
    <row r="406" ht="15.75" customHeight="1">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c r="AA406" s="253"/>
      <c r="AB406" s="253"/>
    </row>
    <row r="407" ht="15.75" customHeight="1">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c r="AA407" s="253"/>
      <c r="AB407" s="253"/>
    </row>
    <row r="408" ht="15.75" customHeight="1">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c r="AA408" s="253"/>
      <c r="AB408" s="253"/>
    </row>
    <row r="409" ht="15.75" customHeight="1">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c r="AA409" s="253"/>
      <c r="AB409" s="253"/>
    </row>
    <row r="410" ht="15.75" customHeight="1">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c r="AA410" s="253"/>
      <c r="AB410" s="253"/>
    </row>
    <row r="411" ht="15.75" customHeight="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c r="AA411" s="253"/>
      <c r="AB411" s="253"/>
    </row>
    <row r="412" ht="15.75" customHeight="1">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c r="AA412" s="253"/>
      <c r="AB412" s="253"/>
    </row>
    <row r="413" ht="15.75" customHeight="1">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c r="AA413" s="253"/>
      <c r="AB413" s="253"/>
    </row>
    <row r="414" ht="15.75" customHeight="1">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c r="AA414" s="253"/>
      <c r="AB414" s="253"/>
    </row>
    <row r="415" ht="15.75" customHeight="1">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c r="AA415" s="253"/>
      <c r="AB415" s="253"/>
    </row>
    <row r="416" ht="15.75" customHeight="1">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c r="AA416" s="253"/>
      <c r="AB416" s="253"/>
    </row>
    <row r="417" ht="15.75" customHeight="1">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c r="AA417" s="253"/>
      <c r="AB417" s="253"/>
    </row>
    <row r="418" ht="15.75" customHeight="1">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c r="AA418" s="253"/>
      <c r="AB418" s="253"/>
    </row>
    <row r="419" ht="15.75" customHeight="1">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c r="AA419" s="253"/>
      <c r="AB419" s="253"/>
    </row>
    <row r="420" ht="15.75" customHeight="1">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c r="AA420" s="253"/>
      <c r="AB420" s="253"/>
    </row>
    <row r="421" ht="15.75" customHeight="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c r="AA421" s="253"/>
      <c r="AB421" s="253"/>
    </row>
    <row r="422" ht="15.75" customHeight="1">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c r="AA422" s="253"/>
      <c r="AB422" s="253"/>
    </row>
    <row r="423" ht="15.75" customHeight="1">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c r="AA423" s="253"/>
      <c r="AB423" s="253"/>
    </row>
    <row r="424" ht="15.75" customHeight="1">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c r="AA424" s="253"/>
      <c r="AB424" s="253"/>
    </row>
    <row r="425" ht="15.75" customHeight="1">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c r="AA425" s="253"/>
      <c r="AB425" s="253"/>
    </row>
    <row r="426" ht="15.75" customHeight="1">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c r="AA426" s="253"/>
      <c r="AB426" s="253"/>
    </row>
    <row r="427" ht="15.75" customHeight="1">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c r="AA427" s="253"/>
      <c r="AB427" s="253"/>
    </row>
    <row r="428" ht="15.75" customHeight="1">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c r="AA428" s="253"/>
      <c r="AB428" s="253"/>
    </row>
    <row r="429" ht="15.75" customHeight="1">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c r="AA429" s="253"/>
      <c r="AB429" s="253"/>
    </row>
    <row r="430" ht="15.75" customHeight="1">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c r="AA430" s="253"/>
      <c r="AB430" s="253"/>
    </row>
    <row r="431" ht="15.75" customHeight="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c r="AA431" s="253"/>
      <c r="AB431" s="253"/>
    </row>
    <row r="432" ht="15.75" customHeight="1">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c r="AA432" s="253"/>
      <c r="AB432" s="253"/>
    </row>
    <row r="433" ht="15.75" customHeight="1">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c r="AA433" s="253"/>
      <c r="AB433" s="253"/>
    </row>
    <row r="434" ht="15.75" customHeight="1">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c r="AA434" s="253"/>
      <c r="AB434" s="253"/>
    </row>
    <row r="435" ht="15.75" customHeight="1">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c r="AA435" s="253"/>
      <c r="AB435" s="253"/>
    </row>
    <row r="436" ht="15.75" customHeight="1">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c r="AA436" s="253"/>
      <c r="AB436" s="253"/>
    </row>
    <row r="437" ht="15.75" customHeight="1">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c r="AA437" s="253"/>
      <c r="AB437" s="253"/>
    </row>
    <row r="438" ht="15.75" customHeight="1">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c r="AA438" s="253"/>
      <c r="AB438" s="253"/>
    </row>
    <row r="439" ht="15.75" customHeight="1">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c r="AA439" s="253"/>
      <c r="AB439" s="253"/>
    </row>
    <row r="440" ht="15.75" customHeight="1">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c r="AA440" s="253"/>
      <c r="AB440" s="253"/>
    </row>
    <row r="441" ht="15.75" customHeight="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c r="AA441" s="253"/>
      <c r="AB441" s="253"/>
    </row>
    <row r="442" ht="15.75" customHeight="1">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c r="AA442" s="253"/>
      <c r="AB442" s="253"/>
    </row>
    <row r="443" ht="15.75" customHeight="1">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c r="AA443" s="253"/>
      <c r="AB443" s="253"/>
    </row>
    <row r="444" ht="15.75" customHeight="1">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c r="AA444" s="253"/>
      <c r="AB444" s="253"/>
    </row>
    <row r="445" ht="15.75" customHeight="1">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c r="AA445" s="253"/>
      <c r="AB445" s="253"/>
    </row>
    <row r="446" ht="15.75" customHeight="1">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c r="AA446" s="253"/>
      <c r="AB446" s="253"/>
    </row>
    <row r="447" ht="15.75" customHeight="1">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c r="AA447" s="253"/>
      <c r="AB447" s="253"/>
    </row>
    <row r="448" ht="15.75" customHeight="1">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c r="AA448" s="253"/>
      <c r="AB448" s="253"/>
    </row>
    <row r="449" ht="15.75" customHeight="1">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c r="AA449" s="253"/>
      <c r="AB449" s="253"/>
    </row>
    <row r="450" ht="15.75" customHeight="1">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c r="AA450" s="253"/>
      <c r="AB450" s="253"/>
    </row>
    <row r="451" ht="15.75" customHeight="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c r="AA451" s="253"/>
      <c r="AB451" s="253"/>
    </row>
    <row r="452" ht="15.75" customHeight="1">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row>
    <row r="453" ht="15.75" customHeight="1">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c r="AA453" s="253"/>
      <c r="AB453" s="253"/>
    </row>
    <row r="454" ht="15.75" customHeight="1">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c r="AA454" s="253"/>
      <c r="AB454" s="253"/>
    </row>
    <row r="455" ht="15.75" customHeight="1">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c r="AA455" s="253"/>
      <c r="AB455" s="253"/>
    </row>
    <row r="456" ht="15.75" customHeight="1">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c r="AA456" s="253"/>
      <c r="AB456" s="253"/>
    </row>
    <row r="457" ht="15.75" customHeight="1">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c r="AA457" s="253"/>
      <c r="AB457" s="253"/>
    </row>
    <row r="458" ht="15.75" customHeight="1">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c r="AA458" s="253"/>
      <c r="AB458" s="253"/>
    </row>
    <row r="459" ht="15.75" customHeight="1">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c r="AA459" s="253"/>
      <c r="AB459" s="253"/>
    </row>
    <row r="460" ht="15.75" customHeight="1">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c r="AA460" s="253"/>
      <c r="AB460" s="253"/>
    </row>
    <row r="461" ht="15.75" customHeight="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c r="AA461" s="253"/>
      <c r="AB461" s="253"/>
    </row>
    <row r="462" ht="15.75" customHeight="1">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c r="AA462" s="253"/>
      <c r="AB462" s="253"/>
    </row>
    <row r="463" ht="15.75" customHeight="1">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c r="AA463" s="253"/>
      <c r="AB463" s="253"/>
    </row>
    <row r="464" ht="15.75" customHeight="1">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c r="AA464" s="253"/>
      <c r="AB464" s="253"/>
    </row>
    <row r="465" ht="15.75" customHeight="1">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c r="AA465" s="253"/>
      <c r="AB465" s="253"/>
    </row>
    <row r="466" ht="15.75" customHeight="1">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c r="AA466" s="253"/>
      <c r="AB466" s="253"/>
    </row>
    <row r="467" ht="15.75" customHeight="1">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c r="AA467" s="253"/>
      <c r="AB467" s="253"/>
    </row>
    <row r="468" ht="15.75" customHeight="1">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c r="AA468" s="253"/>
      <c r="AB468" s="253"/>
    </row>
    <row r="469" ht="15.75" customHeight="1">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c r="AA469" s="253"/>
      <c r="AB469" s="253"/>
    </row>
    <row r="470" ht="15.75" customHeight="1">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c r="AA470" s="253"/>
      <c r="AB470" s="253"/>
    </row>
    <row r="471" ht="15.75" customHeight="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c r="AA471" s="253"/>
      <c r="AB471" s="253"/>
    </row>
    <row r="472" ht="15.75" customHeight="1">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c r="AA472" s="253"/>
      <c r="AB472" s="253"/>
    </row>
    <row r="473" ht="15.75" customHeight="1">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c r="AA473" s="253"/>
      <c r="AB473" s="253"/>
    </row>
    <row r="474" ht="15.75" customHeight="1">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c r="AA474" s="253"/>
      <c r="AB474" s="253"/>
    </row>
    <row r="475" ht="15.75" customHeight="1">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c r="AA475" s="253"/>
      <c r="AB475" s="253"/>
    </row>
    <row r="476" ht="15.75" customHeight="1">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c r="AA476" s="253"/>
      <c r="AB476" s="253"/>
    </row>
    <row r="477" ht="15.75" customHeight="1">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c r="AA477" s="253"/>
      <c r="AB477" s="253"/>
    </row>
    <row r="478" ht="15.75" customHeight="1">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c r="AA478" s="253"/>
      <c r="AB478" s="253"/>
    </row>
    <row r="479" ht="15.75" customHeight="1">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c r="AA479" s="253"/>
      <c r="AB479" s="253"/>
    </row>
    <row r="480" ht="15.75" customHeight="1">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c r="AA480" s="253"/>
      <c r="AB480" s="253"/>
    </row>
    <row r="481" ht="15.75" customHeight="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c r="AA481" s="253"/>
      <c r="AB481" s="253"/>
    </row>
    <row r="482" ht="15.75" customHeight="1">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c r="AA482" s="253"/>
      <c r="AB482" s="253"/>
    </row>
    <row r="483" ht="15.75" customHeight="1">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c r="AA483" s="253"/>
      <c r="AB483" s="253"/>
    </row>
    <row r="484" ht="15.75" customHeight="1">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c r="AA484" s="253"/>
      <c r="AB484" s="253"/>
    </row>
    <row r="485" ht="15.75" customHeight="1">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c r="AA485" s="253"/>
      <c r="AB485" s="253"/>
    </row>
    <row r="486" ht="15.75" customHeight="1">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c r="AA486" s="253"/>
      <c r="AB486" s="253"/>
    </row>
    <row r="487" ht="15.75" customHeight="1">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c r="AA487" s="253"/>
      <c r="AB487" s="253"/>
    </row>
    <row r="488" ht="15.75" customHeight="1">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c r="AA488" s="253"/>
      <c r="AB488" s="253"/>
    </row>
    <row r="489" ht="15.75" customHeight="1">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c r="AA489" s="253"/>
      <c r="AB489" s="253"/>
    </row>
    <row r="490" ht="15.75" customHeight="1">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c r="AA490" s="253"/>
      <c r="AB490" s="253"/>
    </row>
    <row r="491" ht="15.75" customHeight="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c r="AA491" s="253"/>
      <c r="AB491" s="253"/>
    </row>
    <row r="492" ht="15.75" customHeight="1">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c r="AA492" s="253"/>
      <c r="AB492" s="253"/>
    </row>
    <row r="493" ht="15.75" customHeight="1">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c r="AA493" s="253"/>
      <c r="AB493" s="253"/>
    </row>
    <row r="494" ht="15.75" customHeight="1">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c r="AA494" s="253"/>
      <c r="AB494" s="253"/>
    </row>
    <row r="495" ht="15.75" customHeight="1">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c r="AA495" s="253"/>
      <c r="AB495" s="253"/>
    </row>
    <row r="496" ht="15.75" customHeight="1">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c r="AA496" s="253"/>
      <c r="AB496" s="253"/>
    </row>
    <row r="497" ht="15.75" customHeight="1">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c r="AA497" s="253"/>
      <c r="AB497" s="253"/>
    </row>
    <row r="498" ht="15.75" customHeight="1">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c r="AA498" s="253"/>
      <c r="AB498" s="253"/>
    </row>
    <row r="499" ht="15.75" customHeight="1">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c r="AA499" s="253"/>
      <c r="AB499" s="253"/>
    </row>
    <row r="500" ht="15.75" customHeight="1">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c r="AA500" s="253"/>
      <c r="AB500" s="253"/>
    </row>
    <row r="501" ht="15.75" customHeight="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c r="AA501" s="253"/>
      <c r="AB501" s="253"/>
    </row>
    <row r="502" ht="15.75" customHeight="1">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c r="AA502" s="253"/>
      <c r="AB502" s="253"/>
    </row>
    <row r="503" ht="15.75" customHeight="1">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c r="AA503" s="253"/>
      <c r="AB503" s="253"/>
    </row>
    <row r="504" ht="15.75" customHeight="1">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c r="AA504" s="253"/>
      <c r="AB504" s="253"/>
    </row>
    <row r="505" ht="15.75" customHeight="1">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c r="AA505" s="253"/>
      <c r="AB505" s="253"/>
    </row>
    <row r="506" ht="15.75" customHeight="1">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c r="AA506" s="253"/>
      <c r="AB506" s="253"/>
    </row>
    <row r="507" ht="15.75" customHeight="1">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c r="AB507" s="253"/>
    </row>
    <row r="508" ht="15.75" customHeight="1">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c r="AA508" s="253"/>
      <c r="AB508" s="253"/>
    </row>
    <row r="509" ht="15.75" customHeight="1">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c r="AA509" s="253"/>
      <c r="AB509" s="253"/>
    </row>
    <row r="510" ht="15.75" customHeight="1">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c r="AA510" s="253"/>
      <c r="AB510" s="253"/>
    </row>
    <row r="511" ht="15.75" customHeight="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c r="AA511" s="253"/>
      <c r="AB511" s="253"/>
    </row>
    <row r="512" ht="15.75" customHeight="1">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c r="AA512" s="253"/>
      <c r="AB512" s="253"/>
    </row>
    <row r="513" ht="15.75" customHeight="1">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c r="AA513" s="253"/>
      <c r="AB513" s="253"/>
    </row>
    <row r="514" ht="15.75" customHeight="1">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c r="AA514" s="253"/>
      <c r="AB514" s="253"/>
    </row>
    <row r="515" ht="15.75" customHeight="1">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c r="AA515" s="253"/>
      <c r="AB515" s="253"/>
    </row>
    <row r="516" ht="15.75" customHeight="1">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c r="AA516" s="253"/>
      <c r="AB516" s="253"/>
    </row>
    <row r="517" ht="15.75" customHeight="1">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c r="AA517" s="253"/>
      <c r="AB517" s="253"/>
    </row>
    <row r="518" ht="15.75" customHeight="1">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c r="AA518" s="253"/>
      <c r="AB518" s="253"/>
    </row>
    <row r="519" ht="15.75" customHeight="1">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c r="AA519" s="253"/>
      <c r="AB519" s="253"/>
    </row>
    <row r="520" ht="15.75" customHeight="1">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c r="AA520" s="253"/>
      <c r="AB520" s="253"/>
    </row>
    <row r="521" ht="15.75" customHeight="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c r="AA521" s="253"/>
      <c r="AB521" s="253"/>
    </row>
    <row r="522" ht="15.75" customHeight="1">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c r="AA522" s="253"/>
      <c r="AB522" s="253"/>
    </row>
    <row r="523" ht="15.75" customHeight="1">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c r="AA523" s="253"/>
      <c r="AB523" s="253"/>
    </row>
    <row r="524" ht="15.75" customHeight="1">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c r="AA524" s="253"/>
      <c r="AB524" s="253"/>
    </row>
    <row r="525" ht="15.75" customHeight="1">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c r="AA525" s="253"/>
      <c r="AB525" s="253"/>
    </row>
    <row r="526" ht="15.75" customHeight="1">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c r="AA526" s="253"/>
      <c r="AB526" s="253"/>
    </row>
    <row r="527" ht="15.75" customHeight="1">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c r="AA527" s="253"/>
      <c r="AB527" s="253"/>
    </row>
    <row r="528" ht="15.75" customHeight="1">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c r="AA528" s="253"/>
      <c r="AB528" s="253"/>
    </row>
    <row r="529" ht="15.75" customHeight="1">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c r="AA529" s="253"/>
      <c r="AB529" s="253"/>
    </row>
    <row r="530" ht="15.75" customHeight="1">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c r="AA530" s="253"/>
      <c r="AB530" s="253"/>
    </row>
    <row r="531" ht="15.75" customHeight="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c r="AA531" s="253"/>
      <c r="AB531" s="253"/>
    </row>
    <row r="532" ht="15.75" customHeight="1">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c r="AA532" s="253"/>
      <c r="AB532" s="253"/>
    </row>
    <row r="533" ht="15.75" customHeight="1">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c r="AA533" s="253"/>
      <c r="AB533" s="253"/>
    </row>
    <row r="534" ht="15.75" customHeight="1">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c r="AA534" s="253"/>
      <c r="AB534" s="253"/>
    </row>
    <row r="535" ht="15.75" customHeight="1">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c r="AA535" s="253"/>
      <c r="AB535" s="253"/>
    </row>
    <row r="536" ht="15.75" customHeight="1">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c r="AA536" s="253"/>
      <c r="AB536" s="253"/>
    </row>
    <row r="537" ht="15.75" customHeight="1">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c r="AA537" s="253"/>
      <c r="AB537" s="253"/>
    </row>
    <row r="538" ht="15.75" customHeight="1">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c r="AA538" s="253"/>
      <c r="AB538" s="253"/>
    </row>
    <row r="539" ht="15.75" customHeight="1">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c r="AA539" s="253"/>
      <c r="AB539" s="253"/>
    </row>
    <row r="540" ht="15.75" customHeight="1">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c r="AA540" s="253"/>
      <c r="AB540" s="253"/>
    </row>
    <row r="541" ht="15.75" customHeight="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c r="AA541" s="253"/>
      <c r="AB541" s="253"/>
    </row>
    <row r="542" ht="15.75" customHeight="1">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c r="AA542" s="253"/>
      <c r="AB542" s="253"/>
    </row>
    <row r="543" ht="15.75" customHeight="1">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c r="AA543" s="253"/>
      <c r="AB543" s="253"/>
    </row>
    <row r="544" ht="15.75" customHeight="1">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c r="AA544" s="253"/>
      <c r="AB544" s="253"/>
    </row>
    <row r="545" ht="15.75" customHeight="1">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c r="AA545" s="253"/>
      <c r="AB545" s="253"/>
    </row>
    <row r="546" ht="15.75" customHeight="1">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c r="AA546" s="253"/>
      <c r="AB546" s="253"/>
    </row>
    <row r="547" ht="15.75" customHeight="1">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c r="AA547" s="253"/>
      <c r="AB547" s="253"/>
    </row>
    <row r="548" ht="15.75" customHeight="1">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c r="AA548" s="253"/>
      <c r="AB548" s="253"/>
    </row>
    <row r="549" ht="15.75" customHeight="1">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c r="AA549" s="253"/>
      <c r="AB549" s="253"/>
    </row>
    <row r="550" ht="15.75" customHeight="1">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c r="AA550" s="253"/>
      <c r="AB550" s="253"/>
    </row>
    <row r="551" ht="15.75" customHeight="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c r="AA551" s="253"/>
      <c r="AB551" s="253"/>
    </row>
    <row r="552" ht="15.75" customHeight="1">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c r="AA552" s="253"/>
      <c r="AB552" s="253"/>
    </row>
    <row r="553" ht="15.75" customHeight="1">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c r="AA553" s="253"/>
      <c r="AB553" s="253"/>
    </row>
    <row r="554" ht="15.75" customHeight="1">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c r="AA554" s="253"/>
      <c r="AB554" s="253"/>
    </row>
    <row r="555" ht="15.75" customHeight="1">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c r="AA555" s="253"/>
      <c r="AB555" s="253"/>
    </row>
    <row r="556" ht="15.75" customHeight="1">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c r="AA556" s="253"/>
      <c r="AB556" s="253"/>
    </row>
    <row r="557" ht="15.75" customHeight="1">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c r="AA557" s="253"/>
      <c r="AB557" s="253"/>
    </row>
    <row r="558" ht="15.75" customHeight="1">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c r="AA558" s="253"/>
      <c r="AB558" s="253"/>
    </row>
    <row r="559" ht="15.75" customHeight="1">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c r="AA559" s="253"/>
      <c r="AB559" s="253"/>
    </row>
    <row r="560" ht="15.75" customHeight="1">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c r="AA560" s="253"/>
      <c r="AB560" s="253"/>
    </row>
    <row r="561" ht="15.75" customHeight="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c r="AA561" s="253"/>
      <c r="AB561" s="253"/>
    </row>
    <row r="562" ht="15.75" customHeight="1">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c r="AA562" s="253"/>
      <c r="AB562" s="253"/>
    </row>
    <row r="563" ht="15.75" customHeight="1">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c r="AA563" s="253"/>
      <c r="AB563" s="253"/>
    </row>
    <row r="564" ht="15.75" customHeight="1">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c r="AA564" s="253"/>
      <c r="AB564" s="253"/>
    </row>
    <row r="565" ht="15.75" customHeight="1">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row>
    <row r="566" ht="15.75" customHeight="1">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c r="AA566" s="253"/>
      <c r="AB566" s="253"/>
    </row>
    <row r="567" ht="15.75" customHeight="1">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c r="AA567" s="253"/>
      <c r="AB567" s="253"/>
    </row>
    <row r="568" ht="15.75" customHeight="1">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c r="AA568" s="253"/>
      <c r="AB568" s="253"/>
    </row>
    <row r="569" ht="15.75" customHeight="1">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c r="AA569" s="253"/>
      <c r="AB569" s="253"/>
    </row>
    <row r="570" ht="15.75" customHeight="1">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c r="AA570" s="253"/>
      <c r="AB570" s="253"/>
    </row>
    <row r="571" ht="15.75" customHeight="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c r="AA571" s="253"/>
      <c r="AB571" s="253"/>
    </row>
    <row r="572" ht="15.75" customHeight="1">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c r="AA572" s="253"/>
      <c r="AB572" s="253"/>
    </row>
    <row r="573" ht="15.75" customHeight="1">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c r="AA573" s="253"/>
      <c r="AB573" s="253"/>
    </row>
    <row r="574" ht="15.75" customHeight="1">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c r="AA574" s="253"/>
      <c r="AB574" s="253"/>
    </row>
    <row r="575" ht="15.75" customHeight="1">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c r="AA575" s="253"/>
      <c r="AB575" s="253"/>
    </row>
    <row r="576" ht="15.75" customHeight="1">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c r="AA576" s="253"/>
      <c r="AB576" s="253"/>
    </row>
    <row r="577" ht="15.75" customHeight="1">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c r="AA577" s="253"/>
      <c r="AB577" s="253"/>
    </row>
    <row r="578" ht="15.75" customHeight="1">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c r="AA578" s="253"/>
      <c r="AB578" s="253"/>
    </row>
    <row r="579" ht="15.75" customHeight="1">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c r="AA579" s="253"/>
      <c r="AB579" s="253"/>
    </row>
    <row r="580" ht="15.75" customHeight="1">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c r="AA580" s="253"/>
      <c r="AB580" s="253"/>
    </row>
    <row r="581" ht="15.75" customHeight="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c r="AA581" s="253"/>
      <c r="AB581" s="253"/>
    </row>
    <row r="582" ht="15.75" customHeight="1">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c r="AA582" s="253"/>
      <c r="AB582" s="253"/>
    </row>
    <row r="583" ht="15.75" customHeight="1">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c r="AA583" s="253"/>
      <c r="AB583" s="253"/>
    </row>
    <row r="584" ht="15.75" customHeight="1">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c r="AA584" s="253"/>
      <c r="AB584" s="253"/>
    </row>
    <row r="585" ht="15.75" customHeight="1">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c r="AA585" s="253"/>
      <c r="AB585" s="253"/>
    </row>
    <row r="586" ht="15.75" customHeight="1">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c r="AA586" s="253"/>
      <c r="AB586" s="253"/>
    </row>
    <row r="587" ht="15.75" customHeight="1">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c r="AA587" s="253"/>
      <c r="AB587" s="253"/>
    </row>
    <row r="588" ht="15.75" customHeight="1">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c r="AA588" s="253"/>
      <c r="AB588" s="253"/>
    </row>
    <row r="589" ht="15.75" customHeight="1">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c r="AA589" s="253"/>
      <c r="AB589" s="253"/>
    </row>
    <row r="590" ht="15.75" customHeight="1">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c r="AA590" s="253"/>
      <c r="AB590" s="253"/>
    </row>
    <row r="591" ht="15.75" customHeight="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c r="AA591" s="253"/>
      <c r="AB591" s="253"/>
    </row>
    <row r="592" ht="15.75" customHeight="1">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c r="AA592" s="253"/>
      <c r="AB592" s="253"/>
    </row>
    <row r="593" ht="15.75" customHeight="1">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c r="AA593" s="253"/>
      <c r="AB593" s="253"/>
    </row>
    <row r="594" ht="15.75" customHeight="1">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c r="AA594" s="253"/>
      <c r="AB594" s="253"/>
    </row>
    <row r="595" ht="15.75" customHeight="1">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c r="AA595" s="253"/>
      <c r="AB595" s="253"/>
    </row>
    <row r="596" ht="15.75" customHeight="1">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c r="AA596" s="253"/>
      <c r="AB596" s="253"/>
    </row>
    <row r="597" ht="15.75" customHeight="1">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c r="AA597" s="253"/>
      <c r="AB597" s="253"/>
    </row>
    <row r="598" ht="15.75" customHeight="1">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c r="AA598" s="253"/>
      <c r="AB598" s="253"/>
    </row>
    <row r="599" ht="15.75" customHeight="1">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c r="AA599" s="253"/>
      <c r="AB599" s="253"/>
    </row>
    <row r="600" ht="15.75" customHeight="1">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c r="AA600" s="253"/>
      <c r="AB600" s="253"/>
    </row>
    <row r="601" ht="15.75" customHeight="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c r="AA601" s="253"/>
      <c r="AB601" s="253"/>
    </row>
    <row r="602" ht="15.75" customHeight="1">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c r="AA602" s="253"/>
      <c r="AB602" s="253"/>
    </row>
    <row r="603" ht="15.75" customHeight="1">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c r="AA603" s="253"/>
      <c r="AB603" s="253"/>
    </row>
    <row r="604" ht="15.75" customHeight="1">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c r="AA604" s="253"/>
      <c r="AB604" s="253"/>
    </row>
    <row r="605" ht="15.75" customHeight="1">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c r="AA605" s="253"/>
      <c r="AB605" s="253"/>
    </row>
    <row r="606" ht="15.75" customHeight="1">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c r="AA606" s="253"/>
      <c r="AB606" s="253"/>
    </row>
    <row r="607" ht="15.75" customHeight="1">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c r="AA607" s="253"/>
      <c r="AB607" s="253"/>
    </row>
    <row r="608" ht="15.75" customHeight="1">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c r="AA608" s="253"/>
      <c r="AB608" s="253"/>
    </row>
    <row r="609" ht="15.75" customHeight="1">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c r="AA609" s="253"/>
      <c r="AB609" s="253"/>
    </row>
    <row r="610" ht="15.75" customHeight="1">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c r="AA610" s="253"/>
      <c r="AB610" s="253"/>
    </row>
    <row r="611" ht="15.75" customHeight="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c r="AA611" s="253"/>
      <c r="AB611" s="253"/>
    </row>
    <row r="612" ht="15.75" customHeight="1">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c r="AA612" s="253"/>
      <c r="AB612" s="253"/>
    </row>
    <row r="613" ht="15.75" customHeight="1">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c r="AA613" s="253"/>
      <c r="AB613" s="253"/>
    </row>
    <row r="614" ht="15.75" customHeight="1">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c r="AA614" s="253"/>
      <c r="AB614" s="253"/>
    </row>
    <row r="615" ht="15.75" customHeight="1">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c r="AA615" s="253"/>
      <c r="AB615" s="253"/>
    </row>
    <row r="616" ht="15.75" customHeight="1">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c r="AA616" s="253"/>
      <c r="AB616" s="253"/>
    </row>
    <row r="617" ht="15.75" customHeight="1">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c r="AA617" s="253"/>
      <c r="AB617" s="253"/>
    </row>
    <row r="618" ht="15.75" customHeight="1">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c r="AA618" s="253"/>
      <c r="AB618" s="253"/>
    </row>
    <row r="619" ht="15.75" customHeight="1">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c r="AA619" s="253"/>
      <c r="AB619" s="253"/>
    </row>
    <row r="620" ht="15.75" customHeight="1">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c r="AA620" s="253"/>
      <c r="AB620" s="253"/>
    </row>
    <row r="621" ht="15.75" customHeight="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c r="AA621" s="253"/>
      <c r="AB621" s="253"/>
    </row>
    <row r="622" ht="15.75" customHeight="1">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c r="AA622" s="253"/>
      <c r="AB622" s="253"/>
    </row>
    <row r="623" ht="15.75" customHeight="1">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c r="AA623" s="253"/>
      <c r="AB623" s="253"/>
    </row>
    <row r="624" ht="15.75" customHeight="1">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c r="AA624" s="253"/>
      <c r="AB624" s="253"/>
    </row>
    <row r="625" ht="15.75" customHeight="1">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c r="AA625" s="253"/>
      <c r="AB625" s="253"/>
    </row>
    <row r="626" ht="15.75" customHeight="1">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c r="AA626" s="253"/>
      <c r="AB626" s="253"/>
    </row>
    <row r="627" ht="15.75" customHeight="1">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c r="AA627" s="253"/>
      <c r="AB627" s="253"/>
    </row>
    <row r="628" ht="15.75" customHeight="1">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c r="AA628" s="253"/>
      <c r="AB628" s="253"/>
    </row>
    <row r="629" ht="15.75" customHeight="1">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c r="AA629" s="253"/>
      <c r="AB629" s="253"/>
    </row>
    <row r="630" ht="15.75" customHeight="1">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c r="AA630" s="253"/>
      <c r="AB630" s="253"/>
    </row>
    <row r="631" ht="15.75" customHeight="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c r="AA631" s="253"/>
      <c r="AB631" s="253"/>
    </row>
    <row r="632" ht="15.75" customHeight="1">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c r="AA632" s="253"/>
      <c r="AB632" s="253"/>
    </row>
    <row r="633" ht="15.75" customHeight="1">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c r="AA633" s="253"/>
      <c r="AB633" s="253"/>
    </row>
    <row r="634" ht="15.75" customHeight="1">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c r="AA634" s="253"/>
      <c r="AB634" s="253"/>
    </row>
    <row r="635" ht="15.75" customHeight="1">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c r="AA635" s="253"/>
      <c r="AB635" s="253"/>
    </row>
    <row r="636" ht="15.75" customHeight="1">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c r="AA636" s="253"/>
      <c r="AB636" s="253"/>
    </row>
    <row r="637" ht="15.75" customHeight="1">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c r="AA637" s="253"/>
      <c r="AB637" s="253"/>
    </row>
    <row r="638" ht="15.75" customHeight="1">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c r="AA638" s="253"/>
      <c r="AB638" s="253"/>
    </row>
    <row r="639" ht="15.75" customHeight="1">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c r="AA639" s="253"/>
      <c r="AB639" s="253"/>
    </row>
    <row r="640" ht="15.75" customHeight="1">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c r="AA640" s="253"/>
      <c r="AB640" s="253"/>
    </row>
    <row r="641" ht="15.75" customHeight="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c r="AA641" s="253"/>
      <c r="AB641" s="253"/>
    </row>
    <row r="642" ht="15.75" customHeight="1">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c r="AA642" s="253"/>
      <c r="AB642" s="253"/>
    </row>
    <row r="643" ht="15.75" customHeight="1">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c r="AA643" s="253"/>
      <c r="AB643" s="253"/>
    </row>
    <row r="644" ht="15.75" customHeight="1">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c r="AA644" s="253"/>
      <c r="AB644" s="253"/>
    </row>
    <row r="645" ht="15.75" customHeight="1">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c r="AA645" s="253"/>
      <c r="AB645" s="253"/>
    </row>
    <row r="646" ht="15.75" customHeight="1">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c r="AA646" s="253"/>
      <c r="AB646" s="253"/>
    </row>
    <row r="647" ht="15.75" customHeight="1">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c r="AA647" s="253"/>
      <c r="AB647" s="253"/>
    </row>
    <row r="648" ht="15.75" customHeight="1">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c r="AA648" s="253"/>
      <c r="AB648" s="253"/>
    </row>
    <row r="649" ht="15.75" customHeight="1">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c r="AA649" s="253"/>
      <c r="AB649" s="253"/>
    </row>
    <row r="650" ht="15.75" customHeight="1">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c r="AA650" s="253"/>
      <c r="AB650" s="253"/>
    </row>
    <row r="651" ht="15.75" customHeight="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c r="AA651" s="253"/>
      <c r="AB651" s="253"/>
    </row>
    <row r="652" ht="15.75" customHeight="1">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c r="AA652" s="253"/>
      <c r="AB652" s="253"/>
    </row>
    <row r="653" ht="15.75" customHeight="1">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c r="AA653" s="253"/>
      <c r="AB653" s="253"/>
    </row>
    <row r="654" ht="15.75" customHeight="1">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c r="AA654" s="253"/>
      <c r="AB654" s="253"/>
    </row>
    <row r="655" ht="15.75" customHeight="1">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c r="AA655" s="253"/>
      <c r="AB655" s="253"/>
    </row>
    <row r="656" ht="15.75" customHeight="1">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c r="AA656" s="253"/>
      <c r="AB656" s="253"/>
    </row>
    <row r="657" ht="15.75" customHeight="1">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c r="AA657" s="253"/>
      <c r="AB657" s="253"/>
    </row>
    <row r="658" ht="15.75" customHeight="1">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c r="AA658" s="253"/>
      <c r="AB658" s="253"/>
    </row>
    <row r="659" ht="15.75" customHeight="1">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c r="AA659" s="253"/>
      <c r="AB659" s="253"/>
    </row>
    <row r="660" ht="15.75" customHeight="1">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c r="AA660" s="253"/>
      <c r="AB660" s="253"/>
    </row>
    <row r="661" ht="15.75" customHeight="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c r="AA661" s="253"/>
      <c r="AB661" s="253"/>
    </row>
    <row r="662" ht="15.75" customHeight="1">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c r="AA662" s="253"/>
      <c r="AB662" s="253"/>
    </row>
    <row r="663" ht="15.75" customHeight="1">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row>
    <row r="664" ht="15.75" customHeight="1">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c r="AA664" s="253"/>
      <c r="AB664" s="253"/>
    </row>
    <row r="665" ht="15.75" customHeight="1">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c r="AA665" s="253"/>
      <c r="AB665" s="253"/>
    </row>
    <row r="666" ht="15.75" customHeight="1">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c r="AA666" s="253"/>
      <c r="AB666" s="253"/>
    </row>
    <row r="667" ht="15.75" customHeight="1">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c r="AA667" s="253"/>
      <c r="AB667" s="253"/>
    </row>
    <row r="668" ht="15.75" customHeight="1">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c r="AA668" s="253"/>
      <c r="AB668" s="253"/>
    </row>
    <row r="669" ht="15.75" customHeight="1">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c r="AA669" s="253"/>
      <c r="AB669" s="253"/>
    </row>
    <row r="670" ht="15.75" customHeight="1">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c r="AA670" s="253"/>
      <c r="AB670" s="253"/>
    </row>
    <row r="671" ht="15.75" customHeight="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c r="AA671" s="253"/>
      <c r="AB671" s="253"/>
    </row>
    <row r="672" ht="15.75" customHeight="1">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c r="AA672" s="253"/>
      <c r="AB672" s="253"/>
    </row>
    <row r="673" ht="15.75" customHeight="1">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c r="AA673" s="253"/>
      <c r="AB673" s="253"/>
    </row>
    <row r="674" ht="15.75" customHeight="1">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c r="AA674" s="253"/>
      <c r="AB674" s="253"/>
    </row>
    <row r="675" ht="15.75" customHeight="1">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c r="AA675" s="253"/>
      <c r="AB675" s="253"/>
    </row>
    <row r="676" ht="15.75" customHeight="1">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c r="AA676" s="253"/>
      <c r="AB676" s="253"/>
    </row>
    <row r="677" ht="15.75" customHeight="1">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c r="AA677" s="253"/>
      <c r="AB677" s="253"/>
    </row>
    <row r="678" ht="15.75" customHeight="1">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c r="AA678" s="253"/>
      <c r="AB678" s="253"/>
    </row>
    <row r="679" ht="15.75" customHeight="1">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c r="AA679" s="253"/>
      <c r="AB679" s="253"/>
    </row>
    <row r="680" ht="15.75" customHeight="1">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c r="AA680" s="253"/>
      <c r="AB680" s="253"/>
    </row>
    <row r="681" ht="15.75" customHeight="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c r="AA681" s="253"/>
      <c r="AB681" s="253"/>
    </row>
    <row r="682" ht="15.75" customHeight="1">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c r="AA682" s="253"/>
      <c r="AB682" s="253"/>
    </row>
    <row r="683" ht="15.75" customHeight="1">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c r="AA683" s="253"/>
      <c r="AB683" s="253"/>
    </row>
    <row r="684" ht="15.75" customHeight="1">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c r="AA684" s="253"/>
      <c r="AB684" s="253"/>
    </row>
    <row r="685" ht="15.75" customHeight="1">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c r="AA685" s="253"/>
      <c r="AB685" s="253"/>
    </row>
    <row r="686" ht="15.75" customHeight="1">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c r="AA686" s="253"/>
      <c r="AB686" s="253"/>
    </row>
    <row r="687" ht="15.75" customHeight="1">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c r="AA687" s="253"/>
      <c r="AB687" s="253"/>
    </row>
    <row r="688" ht="15.75" customHeight="1">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c r="AA688" s="253"/>
      <c r="AB688" s="253"/>
    </row>
    <row r="689" ht="15.75" customHeight="1">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c r="AA689" s="253"/>
      <c r="AB689" s="253"/>
    </row>
    <row r="690" ht="15.75" customHeight="1">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c r="AA690" s="253"/>
      <c r="AB690" s="253"/>
    </row>
    <row r="691" ht="15.75" customHeight="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c r="AA691" s="253"/>
      <c r="AB691" s="253"/>
    </row>
    <row r="692" ht="15.75" customHeight="1">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c r="AA692" s="253"/>
      <c r="AB692" s="253"/>
    </row>
    <row r="693" ht="15.75" customHeight="1">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c r="AA693" s="253"/>
      <c r="AB693" s="253"/>
    </row>
    <row r="694" ht="15.75" customHeight="1">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c r="AA694" s="253"/>
      <c r="AB694" s="253"/>
    </row>
    <row r="695" ht="15.75" customHeight="1">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c r="AA695" s="253"/>
      <c r="AB695" s="253"/>
    </row>
    <row r="696" ht="15.75" customHeight="1">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c r="AA696" s="253"/>
      <c r="AB696" s="253"/>
    </row>
    <row r="697" ht="15.75" customHeight="1">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c r="AA697" s="253"/>
      <c r="AB697" s="253"/>
    </row>
    <row r="698" ht="15.75" customHeight="1">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c r="AA698" s="253"/>
      <c r="AB698" s="253"/>
    </row>
    <row r="699" ht="15.75" customHeight="1">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c r="AA699" s="253"/>
      <c r="AB699" s="253"/>
    </row>
    <row r="700" ht="15.75" customHeight="1">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c r="AA700" s="253"/>
      <c r="AB700" s="253"/>
    </row>
    <row r="701" ht="15.75" customHeight="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c r="AA701" s="253"/>
      <c r="AB701" s="253"/>
    </row>
    <row r="702" ht="15.75" customHeight="1">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c r="AA702" s="253"/>
      <c r="AB702" s="253"/>
    </row>
    <row r="703" ht="15.75" customHeight="1">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c r="AA703" s="253"/>
      <c r="AB703" s="253"/>
    </row>
    <row r="704" ht="15.75" customHeight="1">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c r="AA704" s="253"/>
      <c r="AB704" s="253"/>
    </row>
    <row r="705" ht="15.75" customHeight="1">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c r="AA705" s="253"/>
      <c r="AB705" s="253"/>
    </row>
    <row r="706" ht="15.75" customHeight="1">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c r="AA706" s="253"/>
      <c r="AB706" s="253"/>
    </row>
    <row r="707" ht="15.75" customHeight="1">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c r="AA707" s="253"/>
      <c r="AB707" s="253"/>
    </row>
    <row r="708" ht="15.75" customHeight="1">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c r="AA708" s="253"/>
      <c r="AB708" s="253"/>
    </row>
    <row r="709" ht="15.75" customHeight="1">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c r="AA709" s="253"/>
      <c r="AB709" s="253"/>
    </row>
    <row r="710" ht="15.75" customHeight="1">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c r="AA710" s="253"/>
      <c r="AB710" s="253"/>
    </row>
    <row r="711" ht="15.75" customHeight="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c r="AA711" s="253"/>
      <c r="AB711" s="253"/>
    </row>
    <row r="712" ht="15.75" customHeight="1">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c r="AA712" s="253"/>
      <c r="AB712" s="253"/>
    </row>
    <row r="713" ht="15.75" customHeight="1">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c r="AA713" s="253"/>
      <c r="AB713" s="253"/>
    </row>
    <row r="714" ht="15.75" customHeight="1">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c r="AA714" s="253"/>
      <c r="AB714" s="253"/>
    </row>
    <row r="715" ht="15.75" customHeight="1">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c r="AA715" s="253"/>
      <c r="AB715" s="253"/>
    </row>
    <row r="716" ht="15.75" customHeight="1">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c r="AA716" s="253"/>
      <c r="AB716" s="253"/>
    </row>
    <row r="717" ht="15.75" customHeight="1">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c r="AA717" s="253"/>
      <c r="AB717" s="253"/>
    </row>
    <row r="718" ht="15.75" customHeight="1">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c r="AA718" s="253"/>
      <c r="AB718" s="253"/>
    </row>
    <row r="719" ht="15.75" customHeight="1">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c r="AA719" s="253"/>
      <c r="AB719" s="253"/>
    </row>
    <row r="720" ht="15.75" customHeight="1">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c r="AA720" s="253"/>
      <c r="AB720" s="253"/>
    </row>
    <row r="721" ht="15.75" customHeight="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c r="AA721" s="253"/>
      <c r="AB721" s="253"/>
    </row>
    <row r="722" ht="15.75" customHeight="1">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c r="AA722" s="253"/>
      <c r="AB722" s="253"/>
    </row>
    <row r="723" ht="15.75" customHeight="1">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c r="AA723" s="253"/>
      <c r="AB723" s="253"/>
    </row>
    <row r="724" ht="15.75" customHeight="1">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c r="AA724" s="253"/>
      <c r="AB724" s="253"/>
    </row>
    <row r="725" ht="15.75" customHeight="1">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c r="AA725" s="253"/>
      <c r="AB725" s="253"/>
    </row>
    <row r="726" ht="15.75" customHeight="1">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c r="AA726" s="253"/>
      <c r="AB726" s="253"/>
    </row>
    <row r="727" ht="15.75" customHeight="1">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c r="AA727" s="253"/>
      <c r="AB727" s="253"/>
    </row>
    <row r="728" ht="15.75" customHeight="1">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c r="AA728" s="253"/>
      <c r="AB728" s="253"/>
    </row>
    <row r="729" ht="15.75" customHeight="1">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c r="AA729" s="253"/>
      <c r="AB729" s="253"/>
    </row>
    <row r="730" ht="15.75" customHeight="1">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c r="AA730" s="253"/>
      <c r="AB730" s="253"/>
    </row>
    <row r="731" ht="15.75" customHeight="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c r="AA731" s="253"/>
      <c r="AB731" s="253"/>
    </row>
    <row r="732" ht="15.75" customHeight="1">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c r="AA732" s="253"/>
      <c r="AB732" s="253"/>
    </row>
    <row r="733" ht="15.75" customHeight="1">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c r="AA733" s="253"/>
      <c r="AB733" s="253"/>
    </row>
    <row r="734" ht="15.75" customHeight="1">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c r="AA734" s="253"/>
      <c r="AB734" s="253"/>
    </row>
    <row r="735" ht="15.75" customHeight="1">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row>
    <row r="736" ht="15.75" customHeight="1">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c r="AA736" s="253"/>
      <c r="AB736" s="253"/>
    </row>
    <row r="737" ht="15.75" customHeight="1">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c r="AA737" s="253"/>
      <c r="AB737" s="253"/>
    </row>
    <row r="738" ht="15.75" customHeight="1">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c r="AA738" s="253"/>
      <c r="AB738" s="253"/>
    </row>
    <row r="739" ht="15.75" customHeight="1">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c r="AA739" s="253"/>
      <c r="AB739" s="253"/>
    </row>
    <row r="740" ht="15.75" customHeight="1">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c r="AA740" s="253"/>
      <c r="AB740" s="253"/>
    </row>
    <row r="741" ht="15.75" customHeight="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c r="AA741" s="253"/>
      <c r="AB741" s="253"/>
    </row>
    <row r="742" ht="15.75" customHeight="1">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c r="AA742" s="253"/>
      <c r="AB742" s="253"/>
    </row>
    <row r="743" ht="15.75" customHeight="1">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c r="AA743" s="253"/>
      <c r="AB743" s="253"/>
    </row>
    <row r="744" ht="15.75" customHeight="1">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c r="AA744" s="253"/>
      <c r="AB744" s="253"/>
    </row>
    <row r="745" ht="15.75" customHeight="1">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c r="AA745" s="253"/>
      <c r="AB745" s="253"/>
    </row>
    <row r="746" ht="15.75" customHeight="1">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c r="AA746" s="253"/>
      <c r="AB746" s="253"/>
    </row>
    <row r="747" ht="15.75" customHeight="1">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c r="AA747" s="253"/>
      <c r="AB747" s="253"/>
    </row>
    <row r="748" ht="15.75" customHeight="1">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c r="AA748" s="253"/>
      <c r="AB748" s="253"/>
    </row>
    <row r="749" ht="15.75" customHeight="1">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c r="AA749" s="253"/>
      <c r="AB749" s="253"/>
    </row>
    <row r="750" ht="15.75" customHeight="1">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c r="AA750" s="253"/>
      <c r="AB750" s="253"/>
    </row>
    <row r="751" ht="15.75" customHeight="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c r="AA751" s="253"/>
      <c r="AB751" s="253"/>
    </row>
    <row r="752" ht="15.75" customHeight="1">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c r="AA752" s="253"/>
      <c r="AB752" s="253"/>
    </row>
    <row r="753" ht="15.75" customHeight="1">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c r="AA753" s="253"/>
      <c r="AB753" s="253"/>
    </row>
    <row r="754" ht="15.75" customHeight="1">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c r="AA754" s="253"/>
      <c r="AB754" s="253"/>
    </row>
    <row r="755" ht="15.75" customHeight="1">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c r="AA755" s="253"/>
      <c r="AB755" s="253"/>
    </row>
    <row r="756" ht="15.75" customHeight="1">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c r="AA756" s="253"/>
      <c r="AB756" s="253"/>
    </row>
    <row r="757" ht="15.75" customHeight="1">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c r="AA757" s="253"/>
      <c r="AB757" s="253"/>
    </row>
    <row r="758" ht="15.75" customHeight="1">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c r="AA758" s="253"/>
      <c r="AB758" s="253"/>
    </row>
    <row r="759" ht="15.75" customHeight="1">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c r="AA759" s="253"/>
      <c r="AB759" s="253"/>
    </row>
    <row r="760" ht="15.75" customHeight="1">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c r="AA760" s="253"/>
      <c r="AB760" s="253"/>
    </row>
    <row r="761" ht="15.75" customHeight="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c r="AA761" s="253"/>
      <c r="AB761" s="253"/>
    </row>
    <row r="762" ht="15.75" customHeight="1">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c r="AA762" s="253"/>
      <c r="AB762" s="253"/>
    </row>
    <row r="763" ht="15.75" customHeight="1">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c r="AA763" s="253"/>
      <c r="AB763" s="253"/>
    </row>
    <row r="764" ht="15.75" customHeight="1">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c r="AA764" s="253"/>
      <c r="AB764" s="253"/>
    </row>
    <row r="765" ht="15.75" customHeight="1">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c r="AA765" s="253"/>
      <c r="AB765" s="253"/>
    </row>
    <row r="766" ht="15.75" customHeight="1">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c r="AA766" s="253"/>
      <c r="AB766" s="253"/>
    </row>
    <row r="767" ht="15.75" customHeight="1">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c r="AA767" s="253"/>
      <c r="AB767" s="253"/>
    </row>
    <row r="768" ht="15.75" customHeight="1">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c r="AA768" s="253"/>
      <c r="AB768" s="253"/>
    </row>
    <row r="769" ht="15.75" customHeight="1">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c r="AA769" s="253"/>
      <c r="AB769" s="253"/>
    </row>
    <row r="770" ht="15.75" customHeight="1">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c r="AA770" s="253"/>
      <c r="AB770" s="253"/>
    </row>
    <row r="771" ht="15.75" customHeight="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c r="AA771" s="253"/>
      <c r="AB771" s="253"/>
    </row>
    <row r="772" ht="15.75" customHeight="1">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c r="AA772" s="253"/>
      <c r="AB772" s="253"/>
    </row>
    <row r="773" ht="15.75" customHeight="1">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c r="AA773" s="253"/>
      <c r="AB773" s="253"/>
    </row>
    <row r="774" ht="15.75" customHeight="1">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c r="AA774" s="253"/>
      <c r="AB774" s="253"/>
    </row>
    <row r="775" ht="15.75" customHeight="1">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c r="AA775" s="253"/>
      <c r="AB775" s="253"/>
    </row>
    <row r="776" ht="15.75" customHeight="1">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c r="AA776" s="253"/>
      <c r="AB776" s="253"/>
    </row>
    <row r="777" ht="15.75" customHeight="1">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c r="AA777" s="253"/>
      <c r="AB777" s="253"/>
    </row>
    <row r="778" ht="15.75" customHeight="1">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c r="AA778" s="253"/>
      <c r="AB778" s="253"/>
    </row>
    <row r="779" ht="15.75" customHeight="1">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c r="AA779" s="253"/>
      <c r="AB779" s="253"/>
    </row>
    <row r="780" ht="15.75" customHeight="1">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c r="AA780" s="253"/>
      <c r="AB780" s="253"/>
    </row>
    <row r="781" ht="15.75" customHeight="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c r="AA781" s="253"/>
      <c r="AB781" s="253"/>
    </row>
    <row r="782" ht="15.75" customHeight="1">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c r="AA782" s="253"/>
      <c r="AB782" s="253"/>
    </row>
    <row r="783" ht="15.75" customHeight="1">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c r="AA783" s="253"/>
      <c r="AB783" s="253"/>
    </row>
    <row r="784" ht="15.75" customHeight="1">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c r="AA784" s="253"/>
      <c r="AB784" s="253"/>
    </row>
    <row r="785" ht="15.75" customHeight="1">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c r="AA785" s="253"/>
      <c r="AB785" s="253"/>
    </row>
    <row r="786" ht="15.75" customHeight="1">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c r="AA786" s="253"/>
      <c r="AB786" s="253"/>
    </row>
    <row r="787" ht="15.75" customHeight="1">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c r="AA787" s="253"/>
      <c r="AB787" s="253"/>
    </row>
    <row r="788" ht="15.75" customHeight="1">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c r="AA788" s="253"/>
      <c r="AB788" s="253"/>
    </row>
    <row r="789" ht="15.75" customHeight="1">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c r="AA789" s="253"/>
      <c r="AB789" s="253"/>
    </row>
    <row r="790" ht="15.75" customHeight="1">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c r="AA790" s="253"/>
      <c r="AB790" s="253"/>
    </row>
    <row r="791" ht="15.75" customHeight="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c r="AA791" s="253"/>
      <c r="AB791" s="253"/>
    </row>
    <row r="792" ht="15.75" customHeight="1">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c r="AA792" s="253"/>
      <c r="AB792" s="253"/>
    </row>
    <row r="793" ht="15.75" customHeight="1">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c r="AA793" s="253"/>
      <c r="AB793" s="253"/>
    </row>
    <row r="794" ht="15.75" customHeight="1">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c r="AA794" s="253"/>
      <c r="AB794" s="253"/>
    </row>
    <row r="795" ht="15.75" customHeight="1">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c r="AA795" s="253"/>
      <c r="AB795" s="253"/>
    </row>
    <row r="796" ht="15.75" customHeight="1">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c r="AA796" s="253"/>
      <c r="AB796" s="253"/>
    </row>
    <row r="797" ht="15.75" customHeight="1">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c r="AA797" s="253"/>
      <c r="AB797" s="253"/>
    </row>
    <row r="798" ht="15.75" customHeight="1">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c r="AA798" s="253"/>
      <c r="AB798" s="253"/>
    </row>
    <row r="799" ht="15.75" customHeight="1">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c r="AA799" s="253"/>
      <c r="AB799" s="253"/>
    </row>
    <row r="800" ht="15.75" customHeight="1">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c r="AA800" s="253"/>
      <c r="AB800" s="253"/>
    </row>
    <row r="801" ht="15.75" customHeight="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c r="AA801" s="253"/>
      <c r="AB801" s="253"/>
    </row>
    <row r="802" ht="15.75" customHeight="1">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c r="AA802" s="253"/>
      <c r="AB802" s="253"/>
    </row>
    <row r="803" ht="15.75" customHeight="1">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c r="AA803" s="253"/>
      <c r="AB803" s="253"/>
    </row>
    <row r="804" ht="15.75" customHeight="1">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c r="AA804" s="253"/>
      <c r="AB804" s="253"/>
    </row>
    <row r="805" ht="15.75" customHeight="1">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c r="AA805" s="253"/>
      <c r="AB805" s="253"/>
    </row>
    <row r="806" ht="15.75" customHeight="1">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c r="AA806" s="253"/>
      <c r="AB806" s="253"/>
    </row>
    <row r="807" ht="15.75" customHeight="1">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c r="AA807" s="253"/>
      <c r="AB807" s="253"/>
    </row>
    <row r="808" ht="15.75" customHeight="1">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c r="AA808" s="253"/>
      <c r="AB808" s="253"/>
    </row>
    <row r="809" ht="15.75" customHeight="1">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c r="AA809" s="253"/>
      <c r="AB809" s="253"/>
    </row>
    <row r="810" ht="15.75" customHeight="1">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c r="AA810" s="253"/>
      <c r="AB810" s="253"/>
    </row>
    <row r="811" ht="15.75" customHeight="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c r="AA811" s="253"/>
      <c r="AB811" s="253"/>
    </row>
    <row r="812" ht="15.75" customHeight="1">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c r="AA812" s="253"/>
      <c r="AB812" s="253"/>
    </row>
    <row r="813" ht="15.75" customHeight="1">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c r="AA813" s="253"/>
      <c r="AB813" s="253"/>
    </row>
    <row r="814" ht="15.75" customHeight="1">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c r="AA814" s="253"/>
      <c r="AB814" s="253"/>
    </row>
    <row r="815" ht="15.75" customHeight="1">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c r="AA815" s="253"/>
      <c r="AB815" s="253"/>
    </row>
    <row r="816" ht="15.75" customHeight="1">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c r="AA816" s="253"/>
      <c r="AB816" s="253"/>
    </row>
    <row r="817" ht="15.75" customHeight="1">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c r="AA817" s="253"/>
      <c r="AB817" s="253"/>
    </row>
    <row r="818" ht="15.75" customHeight="1">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c r="AA818" s="253"/>
      <c r="AB818" s="253"/>
    </row>
    <row r="819" ht="15.75" customHeight="1">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c r="AA819" s="253"/>
      <c r="AB819" s="253"/>
    </row>
    <row r="820" ht="15.75" customHeight="1">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c r="AA820" s="253"/>
      <c r="AB820" s="253"/>
    </row>
    <row r="821" ht="15.75" customHeight="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c r="AA821" s="253"/>
      <c r="AB821" s="253"/>
    </row>
    <row r="822" ht="15.75" customHeight="1">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c r="AA822" s="253"/>
      <c r="AB822" s="253"/>
    </row>
    <row r="823" ht="15.75" customHeight="1">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c r="AA823" s="253"/>
      <c r="AB823" s="253"/>
    </row>
    <row r="824" ht="15.75" customHeight="1">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c r="AA824" s="253"/>
      <c r="AB824" s="253"/>
    </row>
    <row r="825" ht="15.75" customHeight="1">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c r="AA825" s="253"/>
      <c r="AB825" s="253"/>
    </row>
    <row r="826" ht="15.75" customHeight="1">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c r="AA826" s="253"/>
      <c r="AB826" s="253"/>
    </row>
    <row r="827" ht="15.75" customHeight="1">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c r="AA827" s="253"/>
      <c r="AB827" s="253"/>
    </row>
    <row r="828" ht="15.75" customHeight="1">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c r="AA828" s="253"/>
      <c r="AB828" s="253"/>
    </row>
    <row r="829" ht="15.75" customHeight="1">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c r="AA829" s="253"/>
      <c r="AB829" s="253"/>
    </row>
    <row r="830" ht="15.75" customHeight="1">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c r="AA830" s="253"/>
      <c r="AB830" s="253"/>
    </row>
    <row r="831" ht="15.75" customHeight="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c r="AA831" s="253"/>
      <c r="AB831" s="253"/>
    </row>
    <row r="832" ht="15.75" customHeight="1">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c r="AA832" s="253"/>
      <c r="AB832" s="253"/>
    </row>
    <row r="833" ht="15.75" customHeight="1">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c r="AA833" s="253"/>
      <c r="AB833" s="253"/>
    </row>
    <row r="834" ht="15.75" customHeight="1">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c r="AA834" s="253"/>
      <c r="AB834" s="253"/>
    </row>
    <row r="835" ht="15.75" customHeight="1">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c r="AA835" s="253"/>
      <c r="AB835" s="253"/>
    </row>
    <row r="836" ht="15.75" customHeight="1">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c r="AA836" s="253"/>
      <c r="AB836" s="253"/>
    </row>
    <row r="837" ht="15.75" customHeight="1">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c r="AA837" s="253"/>
      <c r="AB837" s="253"/>
    </row>
    <row r="838" ht="15.75" customHeight="1">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c r="AA838" s="253"/>
      <c r="AB838" s="253"/>
    </row>
    <row r="839" ht="15.75" customHeight="1">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c r="AA839" s="253"/>
      <c r="AB839" s="253"/>
    </row>
    <row r="840" ht="15.75" customHeight="1">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c r="AA840" s="253"/>
      <c r="AB840" s="253"/>
    </row>
    <row r="841" ht="15.75" customHeight="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c r="AA841" s="253"/>
      <c r="AB841" s="253"/>
    </row>
    <row r="842" ht="15.75" customHeight="1">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c r="AA842" s="253"/>
      <c r="AB842" s="253"/>
    </row>
    <row r="843" ht="15.75" customHeight="1">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c r="AA843" s="253"/>
      <c r="AB843" s="253"/>
    </row>
    <row r="844" ht="15.75" customHeight="1">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c r="AA844" s="253"/>
      <c r="AB844" s="253"/>
    </row>
    <row r="845" ht="15.75" customHeight="1">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c r="AA845" s="253"/>
      <c r="AB845" s="253"/>
    </row>
    <row r="846" ht="15.75" customHeight="1">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c r="AA846" s="253"/>
      <c r="AB846" s="253"/>
    </row>
    <row r="847" ht="15.75" customHeight="1">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c r="AA847" s="253"/>
      <c r="AB847" s="253"/>
    </row>
    <row r="848" ht="15.75" customHeight="1">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c r="AA848" s="253"/>
      <c r="AB848" s="253"/>
    </row>
    <row r="849" ht="15.75" customHeight="1">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c r="AA849" s="253"/>
      <c r="AB849" s="253"/>
    </row>
    <row r="850" ht="15.75" customHeight="1">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c r="AA850" s="253"/>
      <c r="AB850" s="253"/>
    </row>
    <row r="851" ht="15.75" customHeight="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c r="AA851" s="253"/>
      <c r="AB851" s="253"/>
    </row>
    <row r="852" ht="15.75" customHeight="1">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c r="AA852" s="253"/>
      <c r="AB852" s="253"/>
    </row>
    <row r="853" ht="15.75" customHeight="1">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c r="AA853" s="253"/>
      <c r="AB853" s="253"/>
    </row>
    <row r="854" ht="15.75" customHeight="1">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c r="AA854" s="253"/>
      <c r="AB854" s="253"/>
    </row>
    <row r="855" ht="15.75" customHeight="1">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c r="AA855" s="253"/>
      <c r="AB855" s="253"/>
    </row>
    <row r="856" ht="15.75" customHeight="1">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c r="AA856" s="253"/>
      <c r="AB856" s="253"/>
    </row>
    <row r="857" ht="15.75" customHeight="1">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c r="AA857" s="253"/>
      <c r="AB857" s="253"/>
    </row>
    <row r="858" ht="15.75" customHeight="1">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c r="AA858" s="253"/>
      <c r="AB858" s="253"/>
    </row>
    <row r="859" ht="15.75" customHeight="1">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c r="AA859" s="253"/>
      <c r="AB859" s="253"/>
    </row>
    <row r="860" ht="15.75" customHeight="1">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c r="AA860" s="253"/>
      <c r="AB860" s="253"/>
    </row>
    <row r="861" ht="15.75" customHeight="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c r="AA861" s="253"/>
      <c r="AB861" s="253"/>
    </row>
    <row r="862" ht="15.75" customHeight="1">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c r="AA862" s="253"/>
      <c r="AB862" s="253"/>
    </row>
    <row r="863" ht="15.75" customHeight="1">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c r="AA863" s="253"/>
      <c r="AB863" s="253"/>
    </row>
    <row r="864" ht="15.75" customHeight="1">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c r="AA864" s="253"/>
      <c r="AB864" s="253"/>
    </row>
    <row r="865" ht="15.75" customHeight="1">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c r="AA865" s="253"/>
      <c r="AB865" s="253"/>
    </row>
    <row r="866" ht="15.75" customHeight="1">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c r="AA866" s="253"/>
      <c r="AB866" s="253"/>
    </row>
    <row r="867" ht="15.75" customHeight="1">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c r="AA867" s="253"/>
      <c r="AB867" s="253"/>
    </row>
    <row r="868" ht="15.75" customHeight="1">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c r="AA868" s="253"/>
      <c r="AB868" s="253"/>
    </row>
    <row r="869" ht="15.75" customHeight="1">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c r="AA869" s="253"/>
      <c r="AB869" s="253"/>
    </row>
    <row r="870" ht="15.75" customHeight="1">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c r="AA870" s="253"/>
      <c r="AB870" s="253"/>
    </row>
    <row r="871" ht="15.75" customHeight="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c r="AA871" s="253"/>
      <c r="AB871" s="253"/>
    </row>
    <row r="872" ht="15.75" customHeight="1">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c r="AA872" s="253"/>
      <c r="AB872" s="253"/>
    </row>
    <row r="873" ht="15.75" customHeight="1">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c r="AA873" s="253"/>
      <c r="AB873" s="253"/>
    </row>
    <row r="874" ht="15.75" customHeight="1">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c r="AA874" s="253"/>
      <c r="AB874" s="253"/>
    </row>
    <row r="875" ht="15.75" customHeight="1">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c r="AA875" s="253"/>
      <c r="AB875" s="253"/>
    </row>
    <row r="876" ht="15.75" customHeight="1">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c r="AA876" s="253"/>
      <c r="AB876" s="253"/>
    </row>
    <row r="877" ht="15.75" customHeight="1">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c r="AA877" s="253"/>
      <c r="AB877" s="253"/>
    </row>
    <row r="878" ht="15.75" customHeight="1">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c r="AA878" s="253"/>
      <c r="AB878" s="253"/>
    </row>
    <row r="879" ht="15.75" customHeight="1">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c r="AA879" s="253"/>
      <c r="AB879" s="253"/>
    </row>
    <row r="880" ht="15.75" customHeight="1">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c r="AA880" s="253"/>
      <c r="AB880" s="253"/>
    </row>
    <row r="881" ht="15.75" customHeight="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c r="AA881" s="253"/>
      <c r="AB881" s="253"/>
    </row>
    <row r="882" ht="15.75" customHeight="1">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c r="AA882" s="253"/>
      <c r="AB882" s="253"/>
    </row>
    <row r="883" ht="15.75" customHeight="1">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c r="AA883" s="253"/>
      <c r="AB883" s="253"/>
    </row>
    <row r="884" ht="15.75" customHeight="1">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c r="AA884" s="253"/>
      <c r="AB884" s="253"/>
    </row>
    <row r="885" ht="15.75" customHeight="1">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c r="AA885" s="253"/>
      <c r="AB885" s="253"/>
    </row>
    <row r="886" ht="15.75" customHeight="1">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c r="AA886" s="253"/>
      <c r="AB886" s="253"/>
    </row>
    <row r="887" ht="15.75" customHeight="1">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c r="AA887" s="253"/>
      <c r="AB887" s="253"/>
    </row>
    <row r="888" ht="15.75" customHeight="1">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c r="AA888" s="253"/>
      <c r="AB888" s="253"/>
    </row>
    <row r="889" ht="15.75" customHeight="1">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c r="AA889" s="253"/>
      <c r="AB889" s="253"/>
    </row>
    <row r="890" ht="15.75" customHeight="1">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c r="AA890" s="253"/>
      <c r="AB890" s="253"/>
    </row>
    <row r="891" ht="15.75" customHeight="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c r="AA891" s="253"/>
      <c r="AB891" s="253"/>
    </row>
    <row r="892" ht="15.75" customHeight="1">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c r="AA892" s="253"/>
      <c r="AB892" s="253"/>
    </row>
    <row r="893" ht="15.75" customHeight="1">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c r="AA893" s="253"/>
      <c r="AB893" s="253"/>
    </row>
    <row r="894" ht="15.75" customHeight="1">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c r="AA894" s="253"/>
      <c r="AB894" s="253"/>
    </row>
    <row r="895" ht="15.75" customHeight="1">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c r="AA895" s="253"/>
      <c r="AB895" s="253"/>
    </row>
    <row r="896" ht="15.75" customHeight="1">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c r="AA896" s="253"/>
      <c r="AB896" s="253"/>
    </row>
    <row r="897" ht="15.75" customHeight="1">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c r="AA897" s="253"/>
      <c r="AB897" s="253"/>
    </row>
    <row r="898" ht="15.75" customHeight="1">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c r="AA898" s="253"/>
      <c r="AB898" s="253"/>
    </row>
    <row r="899" ht="15.75" customHeight="1">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c r="AA899" s="253"/>
      <c r="AB899" s="253"/>
    </row>
    <row r="900" ht="15.75" customHeight="1">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c r="AA900" s="253"/>
      <c r="AB900" s="253"/>
    </row>
    <row r="901" ht="15.75" customHeight="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c r="AA901" s="253"/>
      <c r="AB901" s="253"/>
    </row>
    <row r="902" ht="15.75" customHeight="1">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c r="AA902" s="253"/>
      <c r="AB902" s="253"/>
    </row>
    <row r="903" ht="15.75" customHeight="1">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c r="AA903" s="253"/>
      <c r="AB903" s="253"/>
    </row>
    <row r="904" ht="15.75" customHeight="1">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c r="AA904" s="253"/>
      <c r="AB904" s="253"/>
    </row>
    <row r="905" ht="15.75" customHeight="1">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c r="AA905" s="253"/>
      <c r="AB905" s="253"/>
    </row>
    <row r="906" ht="15.75" customHeight="1">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c r="AA906" s="253"/>
      <c r="AB906" s="253"/>
    </row>
    <row r="907" ht="15.75" customHeight="1">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c r="AA907" s="253"/>
      <c r="AB907" s="253"/>
    </row>
    <row r="908" ht="15.75" customHeight="1">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c r="AA908" s="253"/>
      <c r="AB908" s="253"/>
    </row>
    <row r="909" ht="15.75" customHeight="1">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c r="AA909" s="253"/>
      <c r="AB909" s="253"/>
    </row>
    <row r="910" ht="15.75" customHeight="1">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c r="AA910" s="253"/>
      <c r="AB910" s="253"/>
    </row>
    <row r="911" ht="15.75" customHeight="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row>
    <row r="912" ht="15.75" customHeight="1">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c r="AA912" s="253"/>
      <c r="AB912" s="253"/>
    </row>
    <row r="913" ht="15.75" customHeight="1">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c r="AA913" s="253"/>
      <c r="AB913" s="253"/>
    </row>
    <row r="914" ht="15.75" customHeight="1">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c r="AA914" s="253"/>
      <c r="AB914" s="253"/>
    </row>
    <row r="915" ht="15.75" customHeight="1">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c r="AA915" s="253"/>
      <c r="AB915" s="253"/>
    </row>
    <row r="916" ht="15.75" customHeight="1">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c r="AA916" s="253"/>
      <c r="AB916" s="253"/>
    </row>
    <row r="917" ht="15.75" customHeight="1">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c r="AA917" s="253"/>
      <c r="AB917" s="253"/>
    </row>
    <row r="918" ht="15.75" customHeight="1">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c r="AA918" s="253"/>
      <c r="AB918" s="253"/>
    </row>
    <row r="919" ht="15.75" customHeight="1">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c r="AA919" s="253"/>
      <c r="AB919" s="253"/>
    </row>
    <row r="920" ht="15.75" customHeight="1">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c r="AA920" s="253"/>
      <c r="AB920" s="253"/>
    </row>
    <row r="921" ht="15.75" customHeight="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c r="AA921" s="253"/>
      <c r="AB921" s="253"/>
    </row>
    <row r="922" ht="15.75" customHeight="1">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c r="AA922" s="253"/>
      <c r="AB922" s="253"/>
    </row>
    <row r="923" ht="15.75" customHeight="1">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c r="AA923" s="253"/>
      <c r="AB923" s="253"/>
    </row>
    <row r="924" ht="15.75" customHeight="1">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c r="AA924" s="253"/>
      <c r="AB924" s="253"/>
    </row>
    <row r="925" ht="15.75" customHeight="1">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c r="AA925" s="253"/>
      <c r="AB925" s="253"/>
    </row>
    <row r="926" ht="15.75" customHeight="1">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c r="AA926" s="253"/>
      <c r="AB926" s="253"/>
    </row>
    <row r="927" ht="15.75" customHeight="1">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c r="AA927" s="253"/>
      <c r="AB927" s="253"/>
    </row>
    <row r="928" ht="15.75" customHeight="1">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c r="AA928" s="253"/>
      <c r="AB928" s="253"/>
    </row>
    <row r="929" ht="15.75" customHeight="1">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c r="AA929" s="253"/>
      <c r="AB929" s="253"/>
    </row>
    <row r="930" ht="15.75" customHeight="1">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c r="AA930" s="253"/>
      <c r="AB930" s="253"/>
    </row>
    <row r="931" ht="15.75" customHeight="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c r="AA931" s="253"/>
      <c r="AB931" s="253"/>
    </row>
    <row r="932" ht="15.75" customHeight="1">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c r="AA932" s="253"/>
      <c r="AB932" s="253"/>
    </row>
    <row r="933" ht="15.75" customHeight="1">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c r="AA933" s="253"/>
      <c r="AB933" s="253"/>
    </row>
    <row r="934" ht="15.75" customHeight="1">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c r="AA934" s="253"/>
      <c r="AB934" s="253"/>
    </row>
    <row r="935" ht="15.75" customHeight="1">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c r="AA935" s="253"/>
      <c r="AB935" s="253"/>
    </row>
    <row r="936" ht="15.75" customHeight="1">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c r="AA936" s="253"/>
      <c r="AB936" s="253"/>
    </row>
    <row r="937" ht="15.75" customHeight="1">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c r="AA937" s="253"/>
      <c r="AB937" s="253"/>
    </row>
    <row r="938" ht="15.75" customHeight="1">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c r="AA938" s="253"/>
      <c r="AB938" s="253"/>
    </row>
    <row r="939" ht="15.75" customHeight="1">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c r="AA939" s="253"/>
      <c r="AB939" s="253"/>
    </row>
    <row r="940" ht="15.75" customHeight="1">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c r="AA940" s="253"/>
      <c r="AB940" s="253"/>
    </row>
    <row r="941" ht="15.75" customHeight="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c r="AA941" s="253"/>
      <c r="AB941" s="253"/>
    </row>
    <row r="942" ht="15.75" customHeight="1">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c r="AA942" s="253"/>
      <c r="AB942" s="253"/>
    </row>
    <row r="943" ht="15.75" customHeight="1">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c r="AA943" s="253"/>
      <c r="AB943" s="253"/>
    </row>
    <row r="944" ht="15.75" customHeight="1">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c r="AA944" s="253"/>
      <c r="AB944" s="253"/>
    </row>
    <row r="945" ht="15.75" customHeight="1">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c r="AA945" s="253"/>
      <c r="AB945" s="253"/>
    </row>
    <row r="946" ht="15.75" customHeight="1">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c r="AA946" s="253"/>
      <c r="AB946" s="253"/>
    </row>
    <row r="947" ht="15.75" customHeight="1">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c r="AA947" s="253"/>
      <c r="AB947" s="253"/>
    </row>
    <row r="948" ht="15.75" customHeight="1">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c r="AA948" s="253"/>
      <c r="AB948" s="253"/>
    </row>
    <row r="949" ht="15.75" customHeight="1">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c r="AA949" s="253"/>
      <c r="AB949" s="253"/>
    </row>
    <row r="950" ht="15.75" customHeight="1">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c r="AA950" s="253"/>
      <c r="AB950" s="253"/>
    </row>
    <row r="951" ht="15.75" customHeight="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c r="AA951" s="253"/>
      <c r="AB951" s="253"/>
    </row>
    <row r="952" ht="15.75" customHeight="1">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c r="AA952" s="253"/>
      <c r="AB952" s="253"/>
    </row>
    <row r="953" ht="15.75" customHeight="1">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c r="AA953" s="253"/>
      <c r="AB953" s="253"/>
    </row>
    <row r="954" ht="15.75" customHeight="1">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c r="AA954" s="253"/>
      <c r="AB954" s="253"/>
    </row>
    <row r="955" ht="15.75" customHeight="1">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c r="AA955" s="253"/>
      <c r="AB955" s="253"/>
    </row>
    <row r="956" ht="15.75" customHeight="1">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c r="AA956" s="253"/>
      <c r="AB956" s="253"/>
    </row>
    <row r="957" ht="15.75" customHeight="1">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c r="AA957" s="253"/>
      <c r="AB957" s="253"/>
    </row>
    <row r="958" ht="15.75" customHeight="1">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c r="AA958" s="253"/>
      <c r="AB958" s="253"/>
    </row>
    <row r="959" ht="15.75" customHeight="1">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c r="AA959" s="253"/>
      <c r="AB959" s="253"/>
    </row>
    <row r="960" ht="15.75" customHeight="1">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c r="AA960" s="253"/>
      <c r="AB960" s="253"/>
    </row>
    <row r="961" ht="15.75" customHeight="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c r="AA961" s="253"/>
      <c r="AB961" s="253"/>
    </row>
    <row r="962" ht="15.75" customHeight="1">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c r="AA962" s="253"/>
      <c r="AB962" s="253"/>
    </row>
    <row r="963" ht="15.75" customHeight="1">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c r="AA963" s="253"/>
      <c r="AB963" s="253"/>
    </row>
    <row r="964" ht="15.75" customHeight="1">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c r="AA964" s="253"/>
      <c r="AB964" s="253"/>
    </row>
    <row r="965" ht="15.75" customHeight="1">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c r="AA965" s="253"/>
      <c r="AB965" s="253"/>
    </row>
    <row r="966" ht="15.75" customHeight="1">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c r="AA966" s="253"/>
      <c r="AB966" s="253"/>
    </row>
    <row r="967" ht="15.75" customHeight="1">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c r="AA967" s="253"/>
      <c r="AB967" s="253"/>
    </row>
    <row r="968" ht="15.75" customHeight="1">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c r="AA968" s="253"/>
      <c r="AB968" s="253"/>
    </row>
    <row r="969" ht="15.75" customHeight="1">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c r="AA969" s="253"/>
      <c r="AB969" s="253"/>
    </row>
    <row r="970" ht="15.75" customHeight="1">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c r="AA970" s="253"/>
      <c r="AB970" s="253"/>
    </row>
    <row r="971" ht="15.75" customHeight="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c r="AA971" s="253"/>
      <c r="AB971" s="253"/>
    </row>
    <row r="972" ht="15.75" customHeight="1">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c r="AA972" s="253"/>
      <c r="AB972" s="253"/>
    </row>
    <row r="973" ht="15.75" customHeight="1">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c r="AA973" s="253"/>
      <c r="AB973" s="253"/>
    </row>
    <row r="974" ht="15.75" customHeight="1">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c r="AA974" s="253"/>
      <c r="AB974" s="253"/>
    </row>
    <row r="975" ht="15.75" customHeight="1">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c r="AA975" s="253"/>
      <c r="AB975" s="253"/>
    </row>
    <row r="976" ht="15.75" customHeight="1">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c r="AA976" s="253"/>
      <c r="AB976" s="253"/>
    </row>
    <row r="977" ht="15.75" customHeight="1">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c r="AA977" s="253"/>
      <c r="AB977" s="253"/>
    </row>
    <row r="978" ht="15.75" customHeight="1">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c r="AA978" s="253"/>
      <c r="AB978" s="253"/>
    </row>
    <row r="979" ht="15.75" customHeight="1">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c r="AA979" s="253"/>
      <c r="AB979" s="253"/>
    </row>
    <row r="980" ht="15.75" customHeight="1">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c r="AA980" s="253"/>
      <c r="AB980" s="253"/>
    </row>
    <row r="981" ht="15.75" customHeight="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c r="AA981" s="253"/>
      <c r="AB981" s="253"/>
    </row>
    <row r="982" ht="15.75" customHeight="1">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c r="AA982" s="253"/>
      <c r="AB982" s="253"/>
    </row>
    <row r="983" ht="15.75" customHeight="1">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c r="AA983" s="253"/>
      <c r="AB983" s="253"/>
    </row>
    <row r="984" ht="15.75" customHeight="1">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c r="AA984" s="253"/>
      <c r="AB984" s="253"/>
    </row>
    <row r="985" ht="15.75" customHeight="1">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c r="AA985" s="253"/>
      <c r="AB985" s="253"/>
    </row>
    <row r="986" ht="15.75" customHeight="1">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c r="AA986" s="253"/>
      <c r="AB986" s="253"/>
    </row>
    <row r="987" ht="15.75" customHeight="1">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c r="AA987" s="253"/>
      <c r="AB987" s="253"/>
    </row>
    <row r="988" ht="15.75" customHeight="1">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c r="AA988" s="253"/>
      <c r="AB988" s="253"/>
    </row>
    <row r="989" ht="15.75" customHeight="1">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c r="AA989" s="253"/>
      <c r="AB989" s="253"/>
    </row>
    <row r="990" ht="15.75" customHeight="1">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c r="AA990" s="253"/>
      <c r="AB990" s="253"/>
    </row>
    <row r="991" ht="15.75" customHeight="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c r="AA991" s="253"/>
      <c r="AB991" s="253"/>
    </row>
    <row r="992" ht="15.75" customHeight="1">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c r="AA992" s="253"/>
      <c r="AB992" s="253"/>
    </row>
    <row r="993" ht="15.75" customHeight="1">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c r="AA993" s="253"/>
      <c r="AB993" s="253"/>
    </row>
    <row r="994" ht="15.75" customHeight="1">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row>
    <row r="995" ht="15.75" customHeight="1">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c r="AA995" s="253"/>
      <c r="AB995" s="253"/>
    </row>
    <row r="996" ht="15.75" customHeight="1">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c r="AA996" s="253"/>
      <c r="AB996" s="253"/>
    </row>
    <row r="997" ht="15.75" customHeight="1">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c r="AA997" s="253"/>
      <c r="AB997" s="253"/>
    </row>
    <row r="998" ht="15.75" customHeight="1">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c r="AA998" s="253"/>
      <c r="AB998" s="253"/>
    </row>
    <row r="999" ht="15.75" customHeight="1">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c r="AA999" s="253"/>
      <c r="AB999" s="253"/>
    </row>
    <row r="1000" ht="15.75" customHeight="1">
      <c r="A1000" s="253"/>
      <c r="B1000" s="253"/>
      <c r="C1000" s="253"/>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c r="AA1000" s="253"/>
      <c r="AB1000" s="253"/>
    </row>
    <row r="1001" ht="15.75" customHeight="1">
      <c r="A1001" s="253"/>
      <c r="B1001" s="253"/>
      <c r="C1001" s="253"/>
      <c r="D1001" s="253"/>
      <c r="E1001" s="253"/>
      <c r="F1001" s="253"/>
      <c r="G1001" s="253"/>
      <c r="H1001" s="253"/>
      <c r="I1001" s="253"/>
      <c r="J1001" s="253"/>
      <c r="K1001" s="253"/>
      <c r="L1001" s="253"/>
      <c r="M1001" s="253"/>
      <c r="N1001" s="253"/>
      <c r="O1001" s="253"/>
      <c r="P1001" s="253"/>
      <c r="Q1001" s="253"/>
      <c r="R1001" s="253"/>
      <c r="S1001" s="253"/>
      <c r="T1001" s="253"/>
      <c r="U1001" s="253"/>
      <c r="V1001" s="253"/>
      <c r="W1001" s="253"/>
      <c r="X1001" s="253"/>
      <c r="Y1001" s="253"/>
      <c r="Z1001" s="253"/>
      <c r="AA1001" s="253"/>
      <c r="AB1001" s="253"/>
    </row>
  </sheetData>
  <mergeCells count="13">
    <mergeCell ref="B12:C14"/>
    <mergeCell ref="D22:I22"/>
    <mergeCell ref="D23:I23"/>
    <mergeCell ref="D24:I24"/>
    <mergeCell ref="D25:I25"/>
    <mergeCell ref="D26:I26"/>
    <mergeCell ref="B3:C3"/>
    <mergeCell ref="B4:C6"/>
    <mergeCell ref="B7:C11"/>
    <mergeCell ref="B15:C18"/>
    <mergeCell ref="B2:I2"/>
    <mergeCell ref="B20:I20"/>
    <mergeCell ref="D21:I21"/>
  </mergeCells>
  <hyperlinks>
    <hyperlink r:id="rId1" ref="F4"/>
    <hyperlink r:id="rId2" ref="F7"/>
    <hyperlink r:id="rId3" location="sis-vectors" ref="B20"/>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84"/>
      <c r="B1" s="284"/>
      <c r="C1" s="284"/>
      <c r="D1" s="285"/>
      <c r="E1" s="285"/>
      <c r="F1" s="285"/>
      <c r="G1" s="285"/>
      <c r="H1" s="285"/>
      <c r="I1" s="285"/>
      <c r="J1" s="285"/>
      <c r="K1" s="285"/>
      <c r="L1" s="285"/>
      <c r="M1" s="285"/>
      <c r="N1" s="285"/>
      <c r="O1" s="285"/>
      <c r="P1" s="285"/>
      <c r="Q1" s="285"/>
      <c r="R1" s="285"/>
      <c r="S1" s="285"/>
      <c r="T1" s="285"/>
      <c r="U1" s="285"/>
      <c r="V1" s="285"/>
      <c r="W1" s="285"/>
      <c r="X1" s="285"/>
      <c r="Y1" s="285"/>
      <c r="Z1" s="285"/>
    </row>
    <row r="2" ht="56.25" customHeight="1">
      <c r="A2" s="284"/>
      <c r="B2" s="286" t="s">
        <v>2235</v>
      </c>
      <c r="C2" s="31"/>
      <c r="D2" s="287"/>
      <c r="E2" s="287"/>
      <c r="F2" s="287"/>
      <c r="G2" s="287"/>
      <c r="H2" s="287"/>
      <c r="I2" s="287"/>
      <c r="J2" s="287"/>
      <c r="K2" s="287"/>
      <c r="L2" s="287"/>
      <c r="M2" s="287"/>
      <c r="N2" s="287"/>
      <c r="O2" s="287"/>
      <c r="P2" s="287"/>
      <c r="Q2" s="287"/>
      <c r="R2" s="287"/>
      <c r="S2" s="287"/>
      <c r="T2" s="287"/>
      <c r="U2" s="287"/>
      <c r="V2" s="287"/>
      <c r="W2" s="287"/>
      <c r="X2" s="287"/>
      <c r="Y2" s="287"/>
      <c r="Z2" s="287"/>
    </row>
    <row r="3" ht="135.0" customHeight="1">
      <c r="A3" s="288"/>
      <c r="B3" s="289" t="s">
        <v>2236</v>
      </c>
      <c r="C3" s="31"/>
      <c r="D3" s="287"/>
      <c r="E3" s="287"/>
      <c r="F3" s="287"/>
      <c r="G3" s="287"/>
      <c r="H3" s="287"/>
      <c r="I3" s="287"/>
      <c r="J3" s="287"/>
      <c r="K3" s="287"/>
      <c r="L3" s="287"/>
      <c r="M3" s="287"/>
      <c r="N3" s="287"/>
      <c r="O3" s="287"/>
      <c r="P3" s="287"/>
      <c r="Q3" s="287"/>
      <c r="R3" s="287"/>
      <c r="S3" s="287"/>
      <c r="T3" s="287"/>
      <c r="U3" s="287"/>
      <c r="V3" s="287"/>
      <c r="W3" s="287"/>
      <c r="X3" s="287"/>
      <c r="Y3" s="287"/>
      <c r="Z3" s="287"/>
    </row>
    <row r="4" ht="45.0" customHeight="1">
      <c r="A4" s="247"/>
      <c r="B4" s="290" t="s">
        <v>2237</v>
      </c>
      <c r="C4" s="31"/>
      <c r="D4" s="287"/>
      <c r="E4" s="287"/>
      <c r="F4" s="287"/>
      <c r="G4" s="287"/>
      <c r="H4" s="287"/>
      <c r="I4" s="287"/>
      <c r="J4" s="287"/>
      <c r="K4" s="287"/>
      <c r="L4" s="287"/>
      <c r="M4" s="287"/>
      <c r="N4" s="287"/>
      <c r="O4" s="287"/>
      <c r="P4" s="287"/>
      <c r="Q4" s="287"/>
      <c r="R4" s="287"/>
      <c r="S4" s="287"/>
      <c r="T4" s="287"/>
      <c r="U4" s="287"/>
      <c r="V4" s="287"/>
      <c r="W4" s="287"/>
      <c r="X4" s="287"/>
      <c r="Y4" s="287"/>
      <c r="Z4" s="287"/>
    </row>
    <row r="5" ht="30.0" customHeight="1">
      <c r="A5" s="291"/>
      <c r="B5" s="292" t="s">
        <v>2238</v>
      </c>
      <c r="C5" s="292" t="s">
        <v>2239</v>
      </c>
      <c r="D5" s="287"/>
      <c r="E5" s="287"/>
      <c r="F5" s="287"/>
      <c r="G5" s="287"/>
      <c r="H5" s="287"/>
      <c r="I5" s="287"/>
      <c r="J5" s="287"/>
      <c r="K5" s="287"/>
      <c r="L5" s="287"/>
      <c r="M5" s="287"/>
      <c r="N5" s="287"/>
      <c r="O5" s="287"/>
      <c r="P5" s="287"/>
      <c r="Q5" s="287"/>
      <c r="R5" s="287"/>
      <c r="S5" s="287"/>
      <c r="T5" s="287"/>
      <c r="U5" s="287"/>
      <c r="V5" s="287"/>
      <c r="W5" s="287"/>
      <c r="X5" s="287"/>
      <c r="Y5" s="287"/>
      <c r="Z5" s="287"/>
    </row>
    <row r="6">
      <c r="A6" s="288"/>
      <c r="B6" s="293" t="s">
        <v>2240</v>
      </c>
      <c r="C6" s="294" t="s">
        <v>2241</v>
      </c>
      <c r="D6" s="287"/>
      <c r="E6" s="287"/>
      <c r="F6" s="287"/>
      <c r="G6" s="287"/>
      <c r="H6" s="287"/>
      <c r="I6" s="287"/>
      <c r="J6" s="287"/>
      <c r="K6" s="287"/>
      <c r="L6" s="287"/>
      <c r="M6" s="287"/>
      <c r="N6" s="287"/>
      <c r="O6" s="287"/>
      <c r="P6" s="287"/>
      <c r="Q6" s="287"/>
      <c r="R6" s="287"/>
      <c r="S6" s="287"/>
      <c r="T6" s="287"/>
      <c r="U6" s="287"/>
      <c r="V6" s="287"/>
      <c r="W6" s="287"/>
      <c r="X6" s="287"/>
      <c r="Y6" s="287"/>
      <c r="Z6" s="287"/>
    </row>
    <row r="7">
      <c r="A7" s="288"/>
      <c r="B7" s="293" t="s">
        <v>2242</v>
      </c>
      <c r="C7" s="294" t="s">
        <v>2243</v>
      </c>
      <c r="D7" s="287"/>
      <c r="E7" s="287"/>
      <c r="F7" s="287"/>
      <c r="G7" s="287"/>
      <c r="H7" s="287"/>
      <c r="I7" s="287"/>
      <c r="J7" s="287"/>
      <c r="K7" s="287"/>
      <c r="L7" s="287"/>
      <c r="M7" s="287"/>
      <c r="N7" s="287"/>
      <c r="O7" s="287"/>
      <c r="P7" s="287"/>
      <c r="Q7" s="287"/>
      <c r="R7" s="287"/>
      <c r="S7" s="287"/>
      <c r="T7" s="287"/>
      <c r="U7" s="287"/>
      <c r="V7" s="287"/>
      <c r="W7" s="287"/>
      <c r="X7" s="287"/>
      <c r="Y7" s="287"/>
      <c r="Z7" s="287"/>
    </row>
    <row r="8" ht="30.0" customHeight="1">
      <c r="A8" s="288"/>
      <c r="B8" s="293"/>
      <c r="C8" s="294"/>
      <c r="D8" s="287"/>
      <c r="E8" s="287"/>
      <c r="F8" s="287"/>
      <c r="G8" s="287"/>
      <c r="H8" s="287"/>
      <c r="I8" s="287"/>
      <c r="J8" s="287"/>
      <c r="K8" s="287"/>
      <c r="L8" s="287"/>
      <c r="M8" s="287"/>
      <c r="N8" s="287"/>
      <c r="O8" s="287"/>
      <c r="P8" s="287"/>
      <c r="Q8" s="287"/>
      <c r="R8" s="287"/>
      <c r="S8" s="287"/>
      <c r="T8" s="287"/>
      <c r="U8" s="287"/>
      <c r="V8" s="287"/>
      <c r="W8" s="287"/>
      <c r="X8" s="287"/>
      <c r="Y8" s="287"/>
      <c r="Z8" s="287"/>
    </row>
    <row r="9" ht="30.0" customHeight="1">
      <c r="A9" s="288"/>
      <c r="B9" s="293"/>
      <c r="C9" s="294"/>
      <c r="D9" s="287"/>
      <c r="E9" s="287"/>
      <c r="F9" s="287"/>
      <c r="G9" s="287"/>
      <c r="H9" s="287"/>
      <c r="I9" s="287"/>
      <c r="J9" s="287"/>
      <c r="K9" s="287"/>
      <c r="L9" s="287"/>
      <c r="M9" s="287"/>
      <c r="N9" s="287"/>
      <c r="O9" s="287"/>
      <c r="P9" s="287"/>
      <c r="Q9" s="287"/>
      <c r="R9" s="287"/>
      <c r="S9" s="287"/>
      <c r="T9" s="287"/>
      <c r="U9" s="287"/>
      <c r="V9" s="287"/>
      <c r="W9" s="287"/>
      <c r="X9" s="287"/>
      <c r="Y9" s="287"/>
      <c r="Z9" s="287"/>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